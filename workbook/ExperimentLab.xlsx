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Inputs" sheetId="2" state="visible" r:id="rId4"/>
    <sheet name="Data_Quality" sheetId="3" state="visible" r:id="rId5"/>
    <sheet name="Summary" sheetId="4" state="visible" r:id="rId6"/>
    <sheet name="Statistical_Test" sheetId="5" state="visible" r:id="rId7"/>
    <sheet name="Break_Even" sheetId="6" state="visible" r:id="rId8"/>
    <sheet name="Segment_Day" sheetId="7" state="visible" r:id="rId9"/>
    <sheet name="Segment_Frequency" sheetId="8" state="visible" r:id="rId10"/>
    <sheet name="Balance_Check" sheetId="9" state="visible" r:id="rId11"/>
    <sheet name="Power_Planner" sheetId="10" state="visible" r:id="rId12"/>
    <sheet name="Charts" sheetId="11" state="visible" r:id="rId13"/>
    <sheet name="Decision_Memo"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<sst xmlns="http://schemas.openxmlformats.org/spreadsheetml/2006/main" count="370" uniqueCount="313">
  <si>
    <t xml:space="preserve">ExperimentLab | Conversion &amp; A/B Testing</t>
  </si>
  <si>
    <t xml:space="preserve">Excel + statistical reasoning. Every statistic in this workbook is a live formula driven by the Inputs sheet.</t>
  </si>
  <si>
    <t xml:space="preserve">Business question</t>
  </si>
  <si>
    <t xml:space="preserve">Does the advertising treatment increase conversion enough to justify continued investment?</t>
  </si>
  <si>
    <t xml:space="preserve">Dataset</t>
  </si>
  <si>
    <t xml:space="preserve">Marketing A/B Testing dataset: 588,101 users, ad group vs PSA comparison group (data/marketing_ab_clean.csv in the repo; reproduced with formulas in ExperimentLab_Verification.xlsx).</t>
  </si>
  <si>
    <t xml:space="preserve">Headline result</t>
  </si>
  <si>
    <t xml:space="preserve">Statistical result</t>
  </si>
  <si>
    <t xml:space="preserve">Key insight</t>
  </si>
  <si>
    <t xml:space="preserve">Business implication</t>
  </si>
  <si>
    <t xml:space="preserve">Break_Even shows what each incremental conversion must be worth for the ad spend to pay back. Spend and conversion value are NOT in the dataset, so those inputs are illustrative placeholders.</t>
  </si>
  <si>
    <t xml:space="preserve">Important limitation</t>
  </si>
  <si>
    <t xml:space="preserve">The dataset does not document how users were assigned to groups. Treat the result as an association unless randomization is verified.</t>
  </si>
  <si>
    <t xml:space="preserve">Sheet guide</t>
  </si>
  <si>
    <t xml:space="preserve">Inputs</t>
  </si>
  <si>
    <t xml:space="preserve">Every hardcoded number (blue font), with its source. Change nothing else by hand.</t>
  </si>
  <si>
    <t xml:space="preserve">Data_Quality</t>
  </si>
  <si>
    <t xml:space="preserve">Validation checks on the source CSV and reconciliation of workbook tables to the group totals.</t>
  </si>
  <si>
    <t xml:space="preserve">Summary</t>
  </si>
  <si>
    <t xml:space="preserve">Conversion rates, absolute difference, relative lift, effect size, incremental conversions.</t>
  </si>
  <si>
    <t xml:space="preserve">Statistical_Test</t>
  </si>
  <si>
    <t xml:space="preserve">Two-proportion z-test, confidence intervals (difference and relative lift), minimum detectable effect, power.</t>
  </si>
  <si>
    <t xml:space="preserve">Break_Even</t>
  </si>
  <si>
    <t xml:space="preserve">Illustrative ROI: break-even value per conversion and a profit sensitivity grid. Yellow cells are assumptions to replace.</t>
  </si>
  <si>
    <t xml:space="preserve">Segment_Day / Segment_Frequency</t>
  </si>
  <si>
    <t xml:space="preserve">Exploratory segment tests with Bonferroni-adjusted p-values; frequency-standardised (Mantel-Haenszel) difference.</t>
  </si>
  <si>
    <t xml:space="preserve">Balance_Check</t>
  </si>
  <si>
    <t xml:space="preserve">Do the two groups have a similar exposure profile? (chi-square tests)</t>
  </si>
  <si>
    <t xml:space="preserve">Power_Planner</t>
  </si>
  <si>
    <t xml:space="preserve">Independent chi-square cross-check of the headline test, and the sample size a follow-up experiment needs.</t>
  </si>
  <si>
    <t xml:space="preserve">Charts</t>
  </si>
  <si>
    <t xml:space="preserve">Native Excel charts.</t>
  </si>
  <si>
    <t xml:space="preserve">Decision_Memo</t>
  </si>
  <si>
    <t xml:space="preserve">Stakeholder recommendation, driven by the numbers above.</t>
  </si>
  <si>
    <t xml:space="preserve">Verification workbook</t>
  </si>
  <si>
    <t xml:space="preserve">Separate workbook holding the raw 588,101 rows; COUNTIFS / SUMIFS recompute every input on this sheet and flag any mismatch.</t>
  </si>
  <si>
    <t xml:space="preserve">Colour legend</t>
  </si>
  <si>
    <t xml:space="preserve">Blue font = hardcoded input | Black = formula | Green = link to another sheet | Yellow fill = assumption you should replace</t>
  </si>
  <si>
    <t xml:space="preserve">All hardcoded values live here. Source: data/marketing_ab_clean.csv. Counts are reproduced with COUNTIFS / SUMIFS in workbook/ExperimentLab_Verification.xlsx (or with a PivotTable).</t>
  </si>
  <si>
    <t xml:space="preserve">Parameter</t>
  </si>
  <si>
    <t xml:space="preserve">Value</t>
  </si>
  <si>
    <t xml:space="preserve">Source / note</t>
  </si>
  <si>
    <t xml:space="preserve">Ad group users</t>
  </si>
  <si>
    <t xml:space="preserve">COUNTIF(test_group = "ad")</t>
  </si>
  <si>
    <t xml:space="preserve">Ad group conversions</t>
  </si>
  <si>
    <t xml:space="preserve">SUMIFS(converted, test_group = "ad")</t>
  </si>
  <si>
    <t xml:space="preserve">PSA group users</t>
  </si>
  <si>
    <t xml:space="preserve">COUNTIF(test_group = "psa")</t>
  </si>
  <si>
    <t xml:space="preserve">PSA group conversions</t>
  </si>
  <si>
    <t xml:space="preserve">SUMIFS(converted, test_group = "psa")</t>
  </si>
  <si>
    <t xml:space="preserve">Ad-group ad impressions</t>
  </si>
  <si>
    <t xml:space="preserve">SUMIFS(total_ads, test_group = "ad")</t>
  </si>
  <si>
    <t xml:space="preserve">PSA-group ad impressions</t>
  </si>
  <si>
    <t xml:space="preserve">SUMIFS(total_ads, test_group = "psa")</t>
  </si>
  <si>
    <t xml:space="preserve">Significance level (alpha)</t>
  </si>
  <si>
    <t xml:space="preserve">Analyst choice, two-sided</t>
  </si>
  <si>
    <t xml:space="preserve">Confidence level</t>
  </si>
  <si>
    <t xml:space="preserve">Formula: 1 - alpha</t>
  </si>
  <si>
    <t xml:space="preserve">Target statistical power</t>
  </si>
  <si>
    <t xml:space="preserve">Analyst choice, used for minimum detectable effect</t>
  </si>
  <si>
    <t xml:space="preserve">Mean ads per user: ad group</t>
  </si>
  <si>
    <t xml:space="preserve">AVERAGEIFS(total_ads, test_group = "ad")</t>
  </si>
  <si>
    <t xml:space="preserve">Mean ads per user: PSA group</t>
  </si>
  <si>
    <t xml:space="preserve">AVERAGEIFS(total_ads, test_group = "psa")</t>
  </si>
  <si>
    <t xml:space="preserve">Median ads per user: ad group</t>
  </si>
  <si>
    <t xml:space="preserve">Median of total_ads, ad group</t>
  </si>
  <si>
    <t xml:space="preserve">Median ads per user: PSA group</t>
  </si>
  <si>
    <t xml:space="preserve">Median of total_ads, PSA group</t>
  </si>
  <si>
    <t xml:space="preserve">Data quality</t>
  </si>
  <si>
    <t xml:space="preserve">Checks run on data/marketing_ab_clean.csv (reproduced live with formulas in workbook/ExperimentLab_Verification.xlsx), plus live reconciliation of this workbook to the group totals.</t>
  </si>
  <si>
    <t xml:space="preserve">Check</t>
  </si>
  <si>
    <t xml:space="preserve">Result</t>
  </si>
  <si>
    <t xml:space="preserve">Expected</t>
  </si>
  <si>
    <t xml:space="preserve">Status</t>
  </si>
  <si>
    <t xml:space="preserve">Rows</t>
  </si>
  <si>
    <t xml:space="preserve">Unique user IDs</t>
  </si>
  <si>
    <t xml:space="preserve">Duplicate user IDs</t>
  </si>
  <si>
    <t xml:space="preserve">Missing cells</t>
  </si>
  <si>
    <t xml:space="preserve">Unexpected group labels</t>
  </si>
  <si>
    <t xml:space="preserve">Invalid conversion values (not 0/1)</t>
  </si>
  <si>
    <t xml:space="preserve">Negative total_ads</t>
  </si>
  <si>
    <t xml:space="preserve">Users with total_ads = 0</t>
  </si>
  <si>
    <t xml:space="preserve">Invalid hour values (not 0-23)</t>
  </si>
  <si>
    <t xml:space="preserve">Invalid weekday labels</t>
  </si>
  <si>
    <t xml:space="preserve">Reconciliation (live formulas)</t>
  </si>
  <si>
    <t xml:space="preserve">Ad + PSA users = rows</t>
  </si>
  <si>
    <t xml:space="preserve">Day table users (ad) = ad users</t>
  </si>
  <si>
    <t xml:space="preserve">Day table users (PSA) = PSA users</t>
  </si>
  <si>
    <t xml:space="preserve">Day table conversions (ad + PSA)</t>
  </si>
  <si>
    <t xml:space="preserve">Frequency table users (ad) = ad users</t>
  </si>
  <si>
    <t xml:space="preserve">Frequency table users (PSA) = PSA users</t>
  </si>
  <si>
    <t xml:space="preserve">Frequency table conversions (ad + PSA)</t>
  </si>
  <si>
    <t xml:space="preserve">Rows removed: 0. Only the index-like "Unnamed: 0" column was dropped when the CSV was cleaned. User IDs span 900,000 to 1,654,483.</t>
  </si>
  <si>
    <t xml:space="preserve">Ad (test) vs PSA (comparison)</t>
  </si>
  <si>
    <t xml:space="preserve">Metric</t>
  </si>
  <si>
    <t xml:space="preserve">Ad (test)</t>
  </si>
  <si>
    <t xml:space="preserve">PSA (comparison)</t>
  </si>
  <si>
    <t xml:space="preserve">Definition</t>
  </si>
  <si>
    <t xml:space="preserve">Users</t>
  </si>
  <si>
    <t xml:space="preserve">Records per group</t>
  </si>
  <si>
    <t xml:space="preserve">Conversions</t>
  </si>
  <si>
    <t xml:space="preserve">Count with converted = 1</t>
  </si>
  <si>
    <t xml:space="preserve">Conversion rate</t>
  </si>
  <si>
    <t xml:space="preserve">Conversions / users</t>
  </si>
  <si>
    <t xml:space="preserve">Absolute difference (Ad - PSA)</t>
  </si>
  <si>
    <t xml:space="preserve">Difference in proportions (percentage points)</t>
  </si>
  <si>
    <t xml:space="preserve">Relative lift vs PSA</t>
  </si>
  <si>
    <t xml:space="preserve">Absolute difference / PSA rate</t>
  </si>
  <si>
    <t xml:space="preserve">Share of all users</t>
  </si>
  <si>
    <t xml:space="preserve">Group users / total users</t>
  </si>
  <si>
    <t xml:space="preserve">Cohen's h</t>
  </si>
  <si>
    <t xml:space="preserve">Effect size for proportions (0.2 small, 0.5 medium)</t>
  </si>
  <si>
    <t xml:space="preserve">Incremental conversions (if causal)</t>
  </si>
  <si>
    <t xml:space="preserve">Absolute difference x ad-group users</t>
  </si>
  <si>
    <t xml:space="preserve">Share of ad conversions that are incremental</t>
  </si>
  <si>
    <t xml:space="preserve">Incremental / observed ad-group conversions</t>
  </si>
  <si>
    <t xml:space="preserve">Incremental conversions per 1,000 ad users</t>
  </si>
  <si>
    <t xml:space="preserve">Absolute difference x 1,000</t>
  </si>
  <si>
    <t xml:space="preserve">Note: "incremental" figures are only causal if group assignment was random. See Decision_Memo.</t>
  </si>
  <si>
    <t xml:space="preserve">Statistical test</t>
  </si>
  <si>
    <t xml:space="preserve">Two-proportion z-test (pooled SE) and confidence intervals (unpooled SE). Large-sample normal approximation.</t>
  </si>
  <si>
    <t xml:space="preserve">Interpretation</t>
  </si>
  <si>
    <t xml:space="preserve">Null hypothesis</t>
  </si>
  <si>
    <t xml:space="preserve">p_ad = p_psa</t>
  </si>
  <si>
    <t xml:space="preserve">Two-sided test</t>
  </si>
  <si>
    <t xml:space="preserve">Alternative hypothesis</t>
  </si>
  <si>
    <t xml:space="preserve">p_ad &lt;&gt; p_psa</t>
  </si>
  <si>
    <t xml:space="preserve">Any difference</t>
  </si>
  <si>
    <t xml:space="preserve">p_ad</t>
  </si>
  <si>
    <t xml:space="preserve">Ad conversion rate</t>
  </si>
  <si>
    <t xml:space="preserve">p_psa</t>
  </si>
  <si>
    <t xml:space="preserve">PSA conversion rate</t>
  </si>
  <si>
    <t xml:space="preserve">Pooled conversion rate</t>
  </si>
  <si>
    <t xml:space="preserve">Used for the z-test standard error</t>
  </si>
  <si>
    <t xml:space="preserve">Pooled standard error</t>
  </si>
  <si>
    <t xml:space="preserve">SQRT(p(1-p)(1/n1+1/n2))</t>
  </si>
  <si>
    <t xml:space="preserve">Z statistic</t>
  </si>
  <si>
    <t xml:space="preserve">Observed difference / pooled SE</t>
  </si>
  <si>
    <t xml:space="preserve">Two-sided p-value</t>
  </si>
  <si>
    <t xml:space="preserve">Probability of a difference this large if p_ad = p_psa</t>
  </si>
  <si>
    <t xml:space="preserve">Critical z</t>
  </si>
  <si>
    <t xml:space="preserve">From alpha on Inputs</t>
  </si>
  <si>
    <t xml:space="preserve">Unpooled standard error</t>
  </si>
  <si>
    <t xml:space="preserve">Used for the confidence interval</t>
  </si>
  <si>
    <t xml:space="preserve">CI lower bound (difference)</t>
  </si>
  <si>
    <t xml:space="preserve">Lower bound for Ad - PSA</t>
  </si>
  <si>
    <t xml:space="preserve">CI upper bound (difference)</t>
  </si>
  <si>
    <t xml:space="preserve">Upper bound for Ad - PSA</t>
  </si>
  <si>
    <t xml:space="preserve">Risk ratio (Ad / PSA)</t>
  </si>
  <si>
    <t xml:space="preserve">Relative conversion</t>
  </si>
  <si>
    <t xml:space="preserve">SE of ln(risk ratio)</t>
  </si>
  <si>
    <t xml:space="preserve">Delta method</t>
  </si>
  <si>
    <t xml:space="preserve">CI lower bound (relative lift)</t>
  </si>
  <si>
    <t xml:space="preserve">Relative lift = risk ratio - 1</t>
  </si>
  <si>
    <t xml:space="preserve">CI upper bound (relative lift)</t>
  </si>
  <si>
    <t xml:space="preserve">Conclusion</t>
  </si>
  <si>
    <t xml:space="preserve">Statistical significance does not imply profitability</t>
  </si>
  <si>
    <t xml:space="preserve">Minimum detectable effect (abs.)</t>
  </si>
  <si>
    <t xml:space="preserve">Smallest difference detectable at the target power with these group sizes</t>
  </si>
  <si>
    <t xml:space="preserve">Approximate power at observed effect</t>
  </si>
  <si>
    <t xml:space="preserve">Retrospective; shown for completeness</t>
  </si>
  <si>
    <t xml:space="preserve">Practical impact</t>
  </si>
  <si>
    <t xml:space="preserve">See Break_Even</t>
  </si>
  <si>
    <t xml:space="preserve">Spend and conversion value are not in the dataset</t>
  </si>
  <si>
    <t xml:space="preserve">Break-even analysis (ILLUSTRATIVE)</t>
  </si>
  <si>
    <t xml:space="preserve">The dataset has no spend or conversion value. Yellow cells are placeholder assumptions: replace them with real figures.</t>
  </si>
  <si>
    <t xml:space="preserve">Assumes the ad group is billed for its ad impressions and the comparison group is not (holdout). If PSA impressions were also purchased, incremental cost is lower. Treat output as a framework, not a result.</t>
  </si>
  <si>
    <t xml:space="preserve">Assumption</t>
  </si>
  <si>
    <t xml:space="preserve">Note</t>
  </si>
  <si>
    <t xml:space="preserve">Cost per 1,000 ad impressions (CPM, $)</t>
  </si>
  <si>
    <t xml:space="preserve">Placeholder</t>
  </si>
  <si>
    <t xml:space="preserve">Value (margin) per conversion ($)</t>
  </si>
  <si>
    <t xml:space="preserve">Calculation</t>
  </si>
  <si>
    <t xml:space="preserve">Point estimate</t>
  </si>
  <si>
    <t xml:space="preserve">CI lower</t>
  </si>
  <si>
    <t xml:space="preserve">CI upper</t>
  </si>
  <si>
    <t xml:space="preserve">Ad impressions served (ad group)</t>
  </si>
  <si>
    <t xml:space="preserve">Campaign cost ($)</t>
  </si>
  <si>
    <t xml:space="preserve">Incremental conversions</t>
  </si>
  <si>
    <t xml:space="preserve">Cost per incremental conversion ($)</t>
  </si>
  <si>
    <t xml:space="preserve">BREAK-EVEN value per conversion ($)</t>
  </si>
  <si>
    <t xml:space="preserve">Incremental revenue at assumed value ($)</t>
  </si>
  <si>
    <t xml:space="preserve">Net profit ($)</t>
  </si>
  <si>
    <t xml:space="preserve">ROI</t>
  </si>
  <si>
    <t xml:space="preserve">Reading the table: the CI columns reuse the confidence interval of the conversion-rate difference, so they show how the economics change across the statistical uncertainty alone.</t>
  </si>
  <si>
    <t xml:space="preserve">Net profit sensitivity (point estimate): rows = CPM ($), columns = value per conversion ($)</t>
  </si>
  <si>
    <t xml:space="preserve">CPM  \  Value</t>
  </si>
  <si>
    <t xml:space="preserve">Green = campaign pays back at that CPM and conversion value; red = it does not. Axis values (blue) can be edited.</t>
  </si>
  <si>
    <t xml:space="preserve">Segment Day</t>
  </si>
  <si>
    <t xml:space="preserve">Conversion by weekday on which the user saw the most ads</t>
  </si>
  <si>
    <t xml:space="preserve">Day with most ads</t>
  </si>
  <si>
    <t xml:space="preserve">Ad users</t>
  </si>
  <si>
    <t xml:space="preserve">Ad conv.</t>
  </si>
  <si>
    <t xml:space="preserve">PSA users</t>
  </si>
  <si>
    <t xml:space="preserve">PSA conv.</t>
  </si>
  <si>
    <t xml:space="preserve">Ad rate</t>
  </si>
  <si>
    <t xml:space="preserve">PSA rate</t>
  </si>
  <si>
    <t xml:space="preserve">Difference</t>
  </si>
  <si>
    <t xml:space="preserve">SE (unpooled)</t>
  </si>
  <si>
    <t xml:space="preserve">z</t>
  </si>
  <si>
    <t xml:space="preserve">p (raw)</t>
  </si>
  <si>
    <t xml:space="preserve">p (Bonferroni)</t>
  </si>
  <si>
    <t xml:space="preserve">Sig. after correction?</t>
  </si>
  <si>
    <t xml:space="preserve">Incremental conv.</t>
  </si>
  <si>
    <t xml:space="preserve">Share of incremental</t>
  </si>
  <si>
    <t xml:space="preserve">Monday</t>
  </si>
  <si>
    <t xml:space="preserve">Tuesday</t>
  </si>
  <si>
    <t xml:space="preserve">Wednesday</t>
  </si>
  <si>
    <t xml:space="preserve">Thursday</t>
  </si>
  <si>
    <t xml:space="preserve">Friday</t>
  </si>
  <si>
    <t xml:space="preserve">Saturday</t>
  </si>
  <si>
    <t xml:space="preserve">Sunday</t>
  </si>
  <si>
    <t xml:space="preserve">All users</t>
  </si>
  <si>
    <t xml:space="preserve">Exploratory. Bonferroni multiplies each raw p-value by the number of tests in this table (capped at 1). Segments are defined by post-exposure behaviour, so they describe who responds; they are not randomised subgroups.</t>
  </si>
  <si>
    <t xml:space="preserve">Segment Frequency</t>
  </si>
  <si>
    <t xml:space="preserve">Conversion by total ads seen (frequency band)</t>
  </si>
  <si>
    <t xml:space="preserve">Ads seen (band)</t>
  </si>
  <si>
    <t xml:space="preserve">MH weight</t>
  </si>
  <si>
    <t xml:space="preserve">MH numerator</t>
  </si>
  <si>
    <t xml:space="preserve">MH variance term</t>
  </si>
  <si>
    <t xml:space="preserve">1</t>
  </si>
  <si>
    <t xml:space="preserve">2-5</t>
  </si>
  <si>
    <t xml:space="preserve">6-10</t>
  </si>
  <si>
    <t xml:space="preserve">11-20</t>
  </si>
  <si>
    <t xml:space="preserve">21-50</t>
  </si>
  <si>
    <t xml:space="preserve">51-100</t>
  </si>
  <si>
    <t xml:space="preserve">101+</t>
  </si>
  <si>
    <t xml:space="preserve">Frequency-standardised comparison (Mantel-Haenszel risk difference)</t>
  </si>
  <si>
    <t xml:space="preserve">Weighted average of the per-band differences, so any difference in how many ads each group saw cannot drive the result. Greenland-Robins variance.</t>
  </si>
  <si>
    <t xml:space="preserve">MH risk difference (Ad - PSA)</t>
  </si>
  <si>
    <t xml:space="preserve">Standard error</t>
  </si>
  <si>
    <t xml:space="preserve">Crude difference (unadjusted)</t>
  </si>
  <si>
    <t xml:space="preserve">Adjusted - crude</t>
  </si>
  <si>
    <t xml:space="preserve">Share of incremental: 21+ ads</t>
  </si>
  <si>
    <t xml:space="preserve">Share of incremental: 51+ ads</t>
  </si>
  <si>
    <t xml:space="preserve">Band-level incremental conversions use each band's own PSA baseline, so their sum differs from the single overall figure on Summary. Shares can exceed 100% when other bands net negative.</t>
  </si>
  <si>
    <t xml:space="preserve">Balance check</t>
  </si>
  <si>
    <t xml:space="preserve">Do the two groups have a similar exposure profile? Chi-square tests of independence (group x segment).</t>
  </si>
  <si>
    <t xml:space="preserve">Ad share</t>
  </si>
  <si>
    <t xml:space="preserve">PSA share</t>
  </si>
  <si>
    <t xml:space="preserve">Share diff (pp)</t>
  </si>
  <si>
    <t xml:space="preserve">Expected ad</t>
  </si>
  <si>
    <t xml:space="preserve">Expected PSA</t>
  </si>
  <si>
    <t xml:space="preserve">Chi-square p-value</t>
  </si>
  <si>
    <t xml:space="preserve">Max |share diff| (pp):</t>
  </si>
  <si>
    <t xml:space="preserve">Average exposure</t>
  </si>
  <si>
    <t xml:space="preserve">Ad</t>
  </si>
  <si>
    <t xml:space="preserve">PSA</t>
  </si>
  <si>
    <t xml:space="preserve">Mean ads per user</t>
  </si>
  <si>
    <t xml:space="preserve">Median ads per user</t>
  </si>
  <si>
    <t xml:space="preserve">Reading this: with ~588k users a chi-square test flags even small gaps, so judge the size of the gaps. Here some bands differ by several percentage points (see Max |share diff|), too large to dismiss. Because total_ads and most_ads_day are measured after the ad is served, a gap could be a delivery effect of the treatment or a sign that assignment was not purely random; the dataset cannot distinguish the two. The 96% / 4% split also cannot be checked against an intended allocation because the design is undocumented. Verify the assignment mechanism before treating the lift as causal.</t>
  </si>
  <si>
    <t xml:space="preserve">Power planner and test cross-check</t>
  </si>
  <si>
    <t xml:space="preserve">Two statistical extensions, both pure Excel formulas: (A) an independent check of the headline z-test, (B) the sample size a follow-up experiment needs (supports next steps 3 and 4 in Decision_Memo).</t>
  </si>
  <si>
    <t xml:space="preserve">A. Cross-check: chi-square test of independence on the 2 x 2 table (group x converted)</t>
  </si>
  <si>
    <t xml:space="preserve">Group</t>
  </si>
  <si>
    <t xml:space="preserve">Converted</t>
  </si>
  <si>
    <t xml:space="preserve">Not converted</t>
  </si>
  <si>
    <t xml:space="preserve">Total</t>
  </si>
  <si>
    <t xml:space="preserve">Expected converted</t>
  </si>
  <si>
    <t xml:space="preserve">Expected not converted</t>
  </si>
  <si>
    <t xml:space="preserve">Chi-square statistic</t>
  </si>
  <si>
    <t xml:space="preserve">Sum of (observed - expected)^2 / expected</t>
  </si>
  <si>
    <t xml:space="preserve">Degrees of freedom</t>
  </si>
  <si>
    <t xml:space="preserve">(rows - 1) x (columns - 1) = 1</t>
  </si>
  <si>
    <t xml:space="preserve">z statistic squared (Statistical_Test)</t>
  </si>
  <si>
    <t xml:space="preserve">Difference (chi-square - z squared)</t>
  </si>
  <si>
    <t xml:space="preserve">Agreement</t>
  </si>
  <si>
    <t xml:space="preserve">B. Sample size for a follow-up test (two-proportion z-test, two-sided)</t>
  </si>
  <si>
    <t xml:space="preserve">Assumption / result</t>
  </si>
  <si>
    <t xml:space="preserve">Linked to Inputs</t>
  </si>
  <si>
    <t xml:space="preserve">Baseline (control) conversion rate</t>
  </si>
  <si>
    <t xml:space="preserve">Defaults to the observed PSA rate. Overwrite with your own baseline.</t>
  </si>
  <si>
    <t xml:space="preserve">Smallest absolute lift worth detecting</t>
  </si>
  <si>
    <t xml:space="preserve">Placeholder (0.5 percentage points). Decide this from the break-even on Break_Even.</t>
  </si>
  <si>
    <t xml:space="preserve">Share of users in the control arm</t>
  </si>
  <si>
    <t xml:space="preserve">Placeholder. The original test put about 4% in PSA.</t>
  </si>
  <si>
    <t xml:space="preserve">Critical z for alpha</t>
  </si>
  <si>
    <t xml:space="preserve">NORMSINV(1 - alpha/2)</t>
  </si>
  <si>
    <t xml:space="preserve">z for power</t>
  </si>
  <si>
    <t xml:space="preserve">NORMSINV(power)</t>
  </si>
  <si>
    <t xml:space="preserve">Treatment conversion rate to detect</t>
  </si>
  <si>
    <t xml:space="preserve">Baseline + lift</t>
  </si>
  <si>
    <t xml:space="preserve">Allocation ratio k (treatment / control)</t>
  </si>
  <si>
    <t xml:space="preserve">k = 1 for an even split</t>
  </si>
  <si>
    <t xml:space="preserve">Control users needed</t>
  </si>
  <si>
    <t xml:space="preserve">Unequal-allocation formula; reduces to the standard one when k = 1</t>
  </si>
  <si>
    <t xml:space="preserve">Treatment users needed</t>
  </si>
  <si>
    <t xml:space="preserve">k x control users</t>
  </si>
  <si>
    <t xml:space="preserve">Total users needed</t>
  </si>
  <si>
    <t xml:space="preserve">Compare with the users in the original test, next row</t>
  </si>
  <si>
    <t xml:space="preserve">Users in the original experiment</t>
  </si>
  <si>
    <t xml:space="preserve">Ad + PSA</t>
  </si>
  <si>
    <t xml:space="preserve">Users per arm to detect the observed lift (even split)</t>
  </si>
  <si>
    <t xml:space="preserve">Replication sample: the observed 0.769 pp lift at the PSA baseline</t>
  </si>
  <si>
    <t xml:space="preserve">Users needed per arm (even split): rows = absolute lift to detect, columns = baseline conversion rate</t>
  </si>
  <si>
    <t xml:space="preserve">Lift  \  Baseline</t>
  </si>
  <si>
    <t xml:space="preserve">Reading the grid: halving the lift you want to detect roughly quadruples the users needed, and a lower baseline rate needs more users for the same absolute lift. Axis values (blue) can be edited.</t>
  </si>
  <si>
    <t xml:space="preserve">Native Excel charts driven by the sheets above.</t>
  </si>
  <si>
    <t xml:space="preserve">Decision memo | ExperimentLab</t>
  </si>
  <si>
    <t xml:space="preserve">Numbers below are formulas and update with the Inputs sheet.</t>
  </si>
  <si>
    <t xml:space="preserve">Question</t>
  </si>
  <si>
    <t xml:space="preserve">Did the ad group convert at a different rate than the PSA comparison group, and is the improvement large enough to justify continued investment?</t>
  </si>
  <si>
    <t xml:space="preserve">Evidence</t>
  </si>
  <si>
    <t xml:space="preserve">Effect size</t>
  </si>
  <si>
    <t xml:space="preserve">Uncertainty</t>
  </si>
  <si>
    <t xml:space="preserve">Test</t>
  </si>
  <si>
    <t xml:space="preserve">Where the lift comes from</t>
  </si>
  <si>
    <t xml:space="preserve">Recommendation</t>
  </si>
  <si>
    <t xml:space="preserve">The ad group converts at a meaningfully higher rate and the difference is statistically robust. Continue the campaign conditionally: (1) verify how users were assigned and what the PSA group saw (exposure profiles differ between groups), (2) replace the placeholder CPM and conversion value with real figures and confirm the break-even is cleared, (3) test frequency caps and targeting, because low-frequency exposure shows little benefit, (4) replicate before a large budget increase.</t>
  </si>
  <si>
    <t xml:space="preserve">Cannot be determined from the dataset: no campaign spend, revenue per conversion, margin or lifetime value. Break_Even is a framework with placeholder inputs.</t>
  </si>
  <si>
    <t xml:space="preserve">Limitations</t>
  </si>
  <si>
    <t xml:space="preserve">Next steps</t>
  </si>
  <si>
    <t xml:space="preserve">1) Validate experiment design. 2) Add spend and value inputs. 3) Pre-register segment hypotheses. 4) Run a follow-up test with frequency-capped arms. Power_Planner shows the sample size the follow-up test needs.</t>
  </si>
</sst>
</file>

<file path=xl/styles.xml><?xml version="1.0" encoding="utf-8"?>
<styleSheet xmlns="http://schemas.openxmlformats.org/spreadsheetml/2006/main">
  <numFmts count="22">
    <numFmt numFmtId="164" formatCode="General"/>
    <numFmt numFmtId="165" formatCode="#,##0"/>
    <numFmt numFmtId="166" formatCode="0.00"/>
    <numFmt numFmtId="167" formatCode="0%"/>
    <numFmt numFmtId="168" formatCode="0"/>
    <numFmt numFmtId="169" formatCode="0.0000%"/>
    <numFmt numFmtId="170" formatCode="0.00%"/>
    <numFmt numFmtId="171" formatCode="0.0000"/>
    <numFmt numFmtId="172" formatCode="0.0%"/>
    <numFmt numFmtId="173" formatCode="0.0"/>
    <numFmt numFmtId="174" formatCode="0.000000"/>
    <numFmt numFmtId="175" formatCode="0.000"/>
    <numFmt numFmtId="176" formatCode="0.00E+00"/>
    <numFmt numFmtId="177" formatCode="\$#,##0.00"/>
    <numFmt numFmtId="178" formatCode="\$#,##0"/>
    <numFmt numFmtId="179" formatCode="\$#,##0;&quot;($&quot;#,##0\);\-"/>
    <numFmt numFmtId="180" formatCode="0%;\(0%\);\-"/>
    <numFmt numFmtId="181" formatCode="0.000%"/>
    <numFmt numFmtId="182" formatCode="#,##0.0"/>
    <numFmt numFmtId="183" formatCode="#,##0.00"/>
    <numFmt numFmtId="184" formatCode="#,##0.0000"/>
    <numFmt numFmtId="185" formatCode="0.00000%"/>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sz val="10"/>
      <color rgb="FF595959"/>
      <name val="Arial"/>
      <family val="0"/>
      <charset val="1"/>
    </font>
    <font>
      <b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864"/>
        <bgColor rgb="FF333333"/>
      </patternFill>
    </fill>
    <fill>
      <patternFill patternType="solid">
        <fgColor rgb="FFFCE4D6"/>
        <bgColor rgb="FFD9D9D9"/>
      </patternFill>
    </fill>
    <fill>
      <patternFill patternType="solid">
        <fgColor rgb="FFFFFF00"/>
        <bgColor rgb="FFFFFF00"/>
      </patternFill>
    </fill>
    <fill>
      <patternFill patternType="solid">
        <fgColor rgb="FFD9E1F2"/>
        <bgColor rgb="FFD9D9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general" vertical="bottom" textRotation="0" wrapText="false" indent="0" shrinkToFit="false"/>
      <protection locked="true" hidden="false"/>
    </xf>
    <xf numFmtId="175" fontId="7" fillId="0" borderId="1" xfId="0" applyFont="true" applyBorder="true" applyAlignment="true" applyProtection="false">
      <alignment horizontal="general" vertical="bottom" textRotation="0" wrapText="false" indent="0" shrinkToFit="false"/>
      <protection locked="true" hidden="false"/>
    </xf>
    <xf numFmtId="176" fontId="7" fillId="0" borderId="1"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77" fontId="9" fillId="4" borderId="1" xfId="0" applyFont="true" applyBorder="true" applyAlignment="true" applyProtection="false">
      <alignment horizontal="general" vertical="bottom" textRotation="0" wrapText="false" indent="0" shrinkToFit="false"/>
      <protection locked="true" hidden="false"/>
    </xf>
    <xf numFmtId="178" fontId="7" fillId="0" borderId="1" xfId="0" applyFont="true" applyBorder="true" applyAlignment="true" applyProtection="false">
      <alignment horizontal="general" vertical="bottom" textRotation="0" wrapText="false" indent="0" shrinkToFit="false"/>
      <protection locked="true" hidden="false"/>
    </xf>
    <xf numFmtId="177" fontId="7"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77" fontId="6" fillId="5" borderId="1" xfId="0" applyFont="true" applyBorder="true" applyAlignment="true" applyProtection="false">
      <alignment horizontal="general" vertical="bottom" textRotation="0" wrapText="false" indent="0" shrinkToFit="false"/>
      <protection locked="true" hidden="false"/>
    </xf>
    <xf numFmtId="179" fontId="7" fillId="0" borderId="1" xfId="0" applyFont="true" applyBorder="true" applyAlignment="true" applyProtection="false">
      <alignment horizontal="general" vertical="bottom" textRotation="0" wrapText="false" indent="0" shrinkToFit="false"/>
      <protection locked="true" hidden="false"/>
    </xf>
    <xf numFmtId="180"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8" fontId="11" fillId="5" borderId="1" xfId="0" applyFont="true" applyBorder="true" applyAlignment="true" applyProtection="false">
      <alignment horizontal="center" vertical="center" textRotation="0" wrapText="true" indent="0" shrinkToFit="false"/>
      <protection locked="true" hidden="false"/>
    </xf>
    <xf numFmtId="181"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81" fontId="6" fillId="5" borderId="1" xfId="0" applyFont="true" applyBorder="true" applyAlignment="true" applyProtection="false">
      <alignment horizontal="general" vertical="bottom" textRotation="0" wrapText="false" indent="0" shrinkToFit="false"/>
      <protection locked="true" hidden="false"/>
    </xf>
    <xf numFmtId="169" fontId="6" fillId="5" borderId="1" xfId="0" applyFont="true" applyBorder="true" applyAlignment="true" applyProtection="false">
      <alignment horizontal="general" vertical="bottom" textRotation="0" wrapText="false" indent="0" shrinkToFit="false"/>
      <protection locked="true" hidden="false"/>
    </xf>
    <xf numFmtId="172" fontId="6" fillId="5" borderId="1" xfId="0" applyFont="true" applyBorder="true" applyAlignment="true" applyProtection="false">
      <alignment horizontal="general" vertical="bottom" textRotation="0" wrapText="false" indent="0" shrinkToFit="false"/>
      <protection locked="true" hidden="false"/>
    </xf>
    <xf numFmtId="182" fontId="7" fillId="0" borderId="1" xfId="0" applyFont="true" applyBorder="true" applyAlignment="true" applyProtection="false">
      <alignment horizontal="general" vertical="bottom" textRotation="0" wrapText="false" indent="0" shrinkToFit="false"/>
      <protection locked="true" hidden="false"/>
    </xf>
    <xf numFmtId="183" fontId="7" fillId="0" borderId="1" xfId="0" applyFont="true" applyBorder="true" applyAlignment="true" applyProtection="false">
      <alignment horizontal="general" vertical="bottom" textRotation="0" wrapText="false" indent="0" shrinkToFit="false"/>
      <protection locked="true" hidden="false"/>
    </xf>
    <xf numFmtId="184" fontId="7" fillId="0" borderId="1" xfId="0" applyFont="true" applyBorder="true" applyAlignment="true" applyProtection="false">
      <alignment horizontal="general" vertical="bottom" textRotation="0" wrapText="false" indent="0" shrinkToFit="false"/>
      <protection locked="true" hidden="false"/>
    </xf>
    <xf numFmtId="185" fontId="7" fillId="0" borderId="1" xfId="0" applyFont="true" applyBorder="tru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71" fontId="6" fillId="5" borderId="1" xfId="0" applyFont="true" applyBorder="true" applyAlignment="tru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10"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82" fontId="7"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6" fontId="10" fillId="0" borderId="2" xfId="0" applyFont="true" applyBorder="true" applyAlignment="false" applyProtection="false">
      <alignment horizontal="general" vertical="bottom" textRotation="0" wrapText="false" indent="0" shrinkToFit="false"/>
      <protection locked="true" hidden="false"/>
    </xf>
    <xf numFmtId="167" fontId="10" fillId="0" borderId="2" xfId="0" applyFont="true" applyBorder="true" applyAlignment="false" applyProtection="false">
      <alignment horizontal="general" vertical="bottom" textRotation="0" wrapText="false" indent="0" shrinkToFit="false"/>
      <protection locked="true" hidden="false"/>
    </xf>
    <xf numFmtId="181" fontId="10" fillId="0" borderId="2" xfId="0" applyFont="true" applyBorder="true" applyAlignment="false" applyProtection="false">
      <alignment horizontal="general" vertical="bottom" textRotation="0" wrapText="false" indent="0" shrinkToFit="false"/>
      <protection locked="true" hidden="false"/>
    </xf>
    <xf numFmtId="181" fontId="9" fillId="4" borderId="2" xfId="0" applyFont="true" applyBorder="true" applyAlignment="false" applyProtection="false">
      <alignment horizontal="general" vertical="bottom" textRotation="0" wrapText="false" indent="0" shrinkToFit="false"/>
      <protection locked="true" hidden="false"/>
    </xf>
    <xf numFmtId="167" fontId="9" fillId="4" borderId="2" xfId="0" applyFont="true" applyBorder="true" applyAlignment="false" applyProtection="false">
      <alignment horizontal="general" vertical="bottom" textRotation="0" wrapText="false" indent="0" shrinkToFit="false"/>
      <protection locked="true" hidden="false"/>
    </xf>
    <xf numFmtId="171" fontId="7" fillId="0" borderId="2" xfId="0" applyFont="true" applyBorder="true" applyAlignment="false" applyProtection="false">
      <alignment horizontal="general" vertical="bottom" textRotation="0" wrapText="false" indent="0" shrinkToFit="false"/>
      <protection locked="true" hidden="false"/>
    </xf>
    <xf numFmtId="181" fontId="7"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8" fillId="2" borderId="0" xfId="0" applyFont="true" applyBorder="false" applyAlignment="true" applyProtection="false">
      <alignment horizontal="center" vertical="center" textRotation="0" wrapText="true" indent="0" shrinkToFit="false"/>
      <protection locked="true" hidden="false"/>
    </xf>
    <xf numFmtId="170" fontId="11" fillId="0" borderId="2"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C7CE"/>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78787"/>
      <rgbColor rgb="FF9999FF"/>
      <rgbColor rgb="FF993366"/>
      <rgbColor rgb="FFFCE4D6"/>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ED7D31"/>
      <rgbColor rgb="FF595959"/>
      <rgbColor rgb="FFB3B3B3"/>
      <rgbColor rgb="FF1F3864"/>
      <rgbColor rgb="FF339966"/>
      <rgbColor rgb="FF0061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Conversion rate by group</a:t>
            </a:r>
          </a:p>
        </c:rich>
      </c:tx>
      <c:overlay val="0"/>
      <c:spPr>
        <a:noFill/>
        <a:ln w="0">
          <a:noFill/>
        </a:ln>
      </c:spPr>
    </c:title>
    <c:autoTitleDeleted val="0"/>
    <c:plotArea>
      <c:barChart>
        <c:barDir val="col"/>
        <c:grouping val="clustered"/>
        <c:varyColors val="0"/>
        <c:ser>
          <c:idx val="0"/>
          <c:order val="0"/>
          <c:spPr>
            <a:solidFill>
              <a:srgbClr val="2f5597"/>
            </a:solidFill>
            <a:ln w="0">
              <a:no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Summary!$B$4:$C$4</c:f>
              <c:strCache>
                <c:ptCount val="2"/>
                <c:pt idx="0">
                  <c:v>Ad (test)</c:v>
                </c:pt>
                <c:pt idx="1">
                  <c:v>PSA (comparison)</c:v>
                </c:pt>
              </c:strCache>
            </c:strRef>
          </c:cat>
          <c:val>
            <c:numRef>
              <c:f>Summary!$B$7:$C$7</c:f>
              <c:numCache>
                <c:formatCode>0.0000%</c:formatCode>
                <c:ptCount val="2"/>
                <c:pt idx="0">
                  <c:v>0.0255465596366837</c:v>
                </c:pt>
                <c:pt idx="1">
                  <c:v>0.0178541064444822</c:v>
                </c:pt>
              </c:numCache>
            </c:numRef>
          </c:val>
        </c:ser>
        <c:gapWidth val="150"/>
        <c:overlap val="0"/>
        <c:axId val="1666611"/>
        <c:axId val="73518844"/>
      </c:barChart>
      <c:catAx>
        <c:axId val="16666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18844"/>
        <c:crosses val="autoZero"/>
        <c:auto val="1"/>
        <c:lblAlgn val="ctr"/>
        <c:lblOffset val="100"/>
        <c:noMultiLvlLbl val="0"/>
      </c:catAx>
      <c:valAx>
        <c:axId val="735188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Conversion rate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66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Conversion rate by ads seen</a:t>
            </a:r>
          </a:p>
        </c:rich>
      </c:tx>
      <c:overlay val="0"/>
      <c:spPr>
        <a:noFill/>
        <a:ln w="0">
          <a:noFill/>
        </a:ln>
      </c:spPr>
    </c:title>
    <c:autoTitleDeleted val="0"/>
    <c:plotArea>
      <c:barChart>
        <c:barDir val="col"/>
        <c:grouping val="clustered"/>
        <c:varyColors val="0"/>
        <c:ser>
          <c:idx val="0"/>
          <c:order val="0"/>
          <c:tx>
            <c:strRef>
              <c:f>Segment_Frequency!F5</c:f>
              <c:strCache>
                <c:ptCount val="1"/>
                <c:pt idx="0">
                  <c:v>Ad rate</c:v>
                </c:pt>
              </c:strCache>
            </c:strRef>
          </c:tx>
          <c:spPr>
            <a:solidFill>
              <a:srgbClr val="2f5597"/>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Segment_Frequency!$A$6:$A$12</c:f>
              <c:strCache>
                <c:ptCount val="7"/>
                <c:pt idx="0">
                  <c:v>1</c:v>
                </c:pt>
                <c:pt idx="1">
                  <c:v>2-5</c:v>
                </c:pt>
                <c:pt idx="2">
                  <c:v>6-10</c:v>
                </c:pt>
                <c:pt idx="3">
                  <c:v>11-20</c:v>
                </c:pt>
                <c:pt idx="4">
                  <c:v>21-50</c:v>
                </c:pt>
                <c:pt idx="5">
                  <c:v>51-100</c:v>
                </c:pt>
                <c:pt idx="6">
                  <c:v>101+</c:v>
                </c:pt>
              </c:strCache>
            </c:strRef>
          </c:cat>
          <c:val>
            <c:numRef>
              <c:f>Segment_Frequency!$F$6:$F$12</c:f>
              <c:numCache>
                <c:formatCode>0.000%</c:formatCode>
                <c:ptCount val="7"/>
                <c:pt idx="0">
                  <c:v>0.00158385207558289</c:v>
                </c:pt>
                <c:pt idx="1">
                  <c:v>0.002948194771061</c:v>
                </c:pt>
                <c:pt idx="2">
                  <c:v>0.00485308724241548</c:v>
                </c:pt>
                <c:pt idx="3">
                  <c:v>0.00839995459484003</c:v>
                </c:pt>
                <c:pt idx="4">
                  <c:v>0.0291538222572705</c:v>
                </c:pt>
                <c:pt idx="5">
                  <c:v>0.116310675213482</c:v>
                </c:pt>
                <c:pt idx="6">
                  <c:v>0.171352135666999</c:v>
                </c:pt>
              </c:numCache>
            </c:numRef>
          </c:val>
        </c:ser>
        <c:ser>
          <c:idx val="1"/>
          <c:order val="1"/>
          <c:tx>
            <c:strRef>
              <c:f>Segment_Frequency!G5</c:f>
              <c:strCache>
                <c:ptCount val="1"/>
                <c:pt idx="0">
                  <c:v>PSA rate</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Segment_Frequency!$A$6:$A$12</c:f>
              <c:strCache>
                <c:ptCount val="7"/>
                <c:pt idx="0">
                  <c:v>1</c:v>
                </c:pt>
                <c:pt idx="1">
                  <c:v>2-5</c:v>
                </c:pt>
                <c:pt idx="2">
                  <c:v>6-10</c:v>
                </c:pt>
                <c:pt idx="3">
                  <c:v>11-20</c:v>
                </c:pt>
                <c:pt idx="4">
                  <c:v>21-50</c:v>
                </c:pt>
                <c:pt idx="5">
                  <c:v>51-100</c:v>
                </c:pt>
                <c:pt idx="6">
                  <c:v>101+</c:v>
                </c:pt>
              </c:strCache>
            </c:strRef>
          </c:cat>
          <c:val>
            <c:numRef>
              <c:f>Segment_Frequency!$G$6:$G$12</c:f>
              <c:numCache>
                <c:formatCode>0.000%</c:formatCode>
                <c:ptCount val="7"/>
                <c:pt idx="0">
                  <c:v>0.0012998266897747</c:v>
                </c:pt>
                <c:pt idx="1">
                  <c:v>0.00342157392400504</c:v>
                </c:pt>
                <c:pt idx="2">
                  <c:v>0.00673499267935578</c:v>
                </c:pt>
                <c:pt idx="3">
                  <c:v>0.00819277108433735</c:v>
                </c:pt>
                <c:pt idx="4">
                  <c:v>0.0217765042979943</c:v>
                </c:pt>
                <c:pt idx="5">
                  <c:v>0.0577441985968699</c:v>
                </c:pt>
                <c:pt idx="6">
                  <c:v>0.118811881188119</c:v>
                </c:pt>
              </c:numCache>
            </c:numRef>
          </c:val>
        </c:ser>
        <c:gapWidth val="150"/>
        <c:overlap val="0"/>
        <c:axId val="21874982"/>
        <c:axId val="92528509"/>
      </c:barChart>
      <c:catAx>
        <c:axId val="218749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Total ads seen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28509"/>
        <c:crosses val="autoZero"/>
        <c:auto val="1"/>
        <c:lblAlgn val="ctr"/>
        <c:lblOffset val="100"/>
        <c:noMultiLvlLbl val="0"/>
      </c:catAx>
      <c:valAx>
        <c:axId val="925285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Conversion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87498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Incremental conversions by ads seen (if causal)</a:t>
            </a:r>
          </a:p>
        </c:rich>
      </c:tx>
      <c:overlay val="0"/>
      <c:spPr>
        <a:noFill/>
        <a:ln w="0">
          <a:noFill/>
        </a:ln>
      </c:spPr>
    </c:title>
    <c:autoTitleDeleted val="0"/>
    <c:plotArea>
      <c:barChart>
        <c:barDir val="col"/>
        <c:grouping val="clustered"/>
        <c:varyColors val="0"/>
        <c:ser>
          <c:idx val="0"/>
          <c:order val="0"/>
          <c:tx>
            <c:strRef>
              <c:f>Segment_Frequency!P5</c:f>
              <c:strCache>
                <c:ptCount val="1"/>
                <c:pt idx="0">
                  <c:v>Incremental conv.</c:v>
                </c:pt>
              </c:strCache>
            </c:strRef>
          </c:tx>
          <c:spPr>
            <a:solidFill>
              <a:srgbClr val="548235"/>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Segment_Frequency!$A$6:$A$12</c:f>
              <c:strCache>
                <c:ptCount val="7"/>
                <c:pt idx="0">
                  <c:v>1</c:v>
                </c:pt>
                <c:pt idx="1">
                  <c:v>2-5</c:v>
                </c:pt>
                <c:pt idx="2">
                  <c:v>6-10</c:v>
                </c:pt>
                <c:pt idx="3">
                  <c:v>11-20</c:v>
                </c:pt>
                <c:pt idx="4">
                  <c:v>21-50</c:v>
                </c:pt>
                <c:pt idx="5">
                  <c:v>51-100</c:v>
                </c:pt>
                <c:pt idx="6">
                  <c:v>101+</c:v>
                </c:pt>
              </c:strCache>
            </c:strRef>
          </c:cat>
          <c:val>
            <c:numRef>
              <c:f>Segment_Frequency!$P$6:$P$12</c:f>
              <c:numCache>
                <c:formatCode>#,##0</c:formatCode>
                <c:ptCount val="7"/>
                <c:pt idx="0">
                  <c:v>15.4220103986135</c:v>
                </c:pt>
                <c:pt idx="1">
                  <c:v>-54.7529263461192</c:v>
                </c:pt>
                <c:pt idx="2">
                  <c:v>-149.681112737921</c:v>
                </c:pt>
                <c:pt idx="3">
                  <c:v>25.5527710843373</c:v>
                </c:pt>
                <c:pt idx="4">
                  <c:v>926.155873925501</c:v>
                </c:pt>
                <c:pt idx="5">
                  <c:v>2585.65137614679</c:v>
                </c:pt>
                <c:pt idx="6">
                  <c:v>1158.72277227723</c:v>
                </c:pt>
              </c:numCache>
            </c:numRef>
          </c:val>
        </c:ser>
        <c:gapWidth val="150"/>
        <c:overlap val="0"/>
        <c:axId val="23941135"/>
        <c:axId val="99617578"/>
      </c:barChart>
      <c:catAx>
        <c:axId val="239411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Total ads seen</a:t>
                </a:r>
              </a:p>
            </c:rich>
          </c:tx>
          <c:overlay val="0"/>
          <c:spPr>
            <a:noFill/>
            <a:ln w="0">
              <a:noFill/>
            </a:ln>
          </c:spPr>
        </c:title>
        <c:numFmt formatCode="General"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9617578"/>
        <c:crosses val="autoZero"/>
        <c:auto val="1"/>
        <c:lblAlgn val="ctr"/>
        <c:lblOffset val="100"/>
        <c:noMultiLvlLbl val="0"/>
      </c:catAx>
      <c:valAx>
        <c:axId val="996175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Conversions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411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Conversion rate by day with most ads</a:t>
            </a:r>
          </a:p>
        </c:rich>
      </c:tx>
      <c:overlay val="0"/>
      <c:spPr>
        <a:noFill/>
        <a:ln w="0">
          <a:noFill/>
        </a:ln>
      </c:spPr>
    </c:title>
    <c:autoTitleDeleted val="0"/>
    <c:plotArea>
      <c:barChart>
        <c:barDir val="col"/>
        <c:grouping val="clustered"/>
        <c:varyColors val="0"/>
        <c:ser>
          <c:idx val="0"/>
          <c:order val="0"/>
          <c:tx>
            <c:strRef>
              <c:f>Segment_Day!F5</c:f>
              <c:strCache>
                <c:ptCount val="1"/>
                <c:pt idx="0">
                  <c:v>Ad rate</c:v>
                </c:pt>
              </c:strCache>
            </c:strRef>
          </c:tx>
          <c:spPr>
            <a:solidFill>
              <a:srgbClr val="2f5597"/>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Segment_Day!$A$6:$A$12</c:f>
              <c:strCache>
                <c:ptCount val="7"/>
                <c:pt idx="0">
                  <c:v>Monday</c:v>
                </c:pt>
                <c:pt idx="1">
                  <c:v>Tuesday</c:v>
                </c:pt>
                <c:pt idx="2">
                  <c:v>Wednesday</c:v>
                </c:pt>
                <c:pt idx="3">
                  <c:v>Thursday</c:v>
                </c:pt>
                <c:pt idx="4">
                  <c:v>Friday</c:v>
                </c:pt>
                <c:pt idx="5">
                  <c:v>Saturday</c:v>
                </c:pt>
                <c:pt idx="6">
                  <c:v>Sunday</c:v>
                </c:pt>
              </c:strCache>
            </c:strRef>
          </c:cat>
          <c:val>
            <c:numRef>
              <c:f>Segment_Day!$F$6:$F$12</c:f>
              <c:numCache>
                <c:formatCode>0.000%</c:formatCode>
                <c:ptCount val="7"/>
                <c:pt idx="0">
                  <c:v>0.033241196108698</c:v>
                </c:pt>
                <c:pt idx="1">
                  <c:v>0.0304403797672049</c:v>
                </c:pt>
                <c:pt idx="2">
                  <c:v>0.0253558603942236</c:v>
                </c:pt>
                <c:pt idx="3">
                  <c:v>0.0216371384852738</c:v>
                </c:pt>
                <c:pt idx="4">
                  <c:v>0.0224649512977873</c:v>
                </c:pt>
                <c:pt idx="5">
                  <c:v>0.0213065658232025</c:v>
                </c:pt>
                <c:pt idx="6">
                  <c:v>0.0246198319001117</c:v>
                </c:pt>
              </c:numCache>
            </c:numRef>
          </c:val>
        </c:ser>
        <c:ser>
          <c:idx val="1"/>
          <c:order val="1"/>
          <c:tx>
            <c:strRef>
              <c:f>Segment_Day!G5</c:f>
              <c:strCache>
                <c:ptCount val="1"/>
                <c:pt idx="0">
                  <c:v>PSA rate</c:v>
                </c:pt>
              </c:strCache>
            </c:strRef>
          </c:tx>
          <c:spPr>
            <a:solidFill>
              <a:srgbClr val="ed7d31"/>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Segment_Day!$A$6:$A$12</c:f>
              <c:strCache>
                <c:ptCount val="7"/>
                <c:pt idx="0">
                  <c:v>Monday</c:v>
                </c:pt>
                <c:pt idx="1">
                  <c:v>Tuesday</c:v>
                </c:pt>
                <c:pt idx="2">
                  <c:v>Wednesday</c:v>
                </c:pt>
                <c:pt idx="3">
                  <c:v>Thursday</c:v>
                </c:pt>
                <c:pt idx="4">
                  <c:v>Friday</c:v>
                </c:pt>
                <c:pt idx="5">
                  <c:v>Saturday</c:v>
                </c:pt>
                <c:pt idx="6">
                  <c:v>Sunday</c:v>
                </c:pt>
              </c:strCache>
            </c:strRef>
          </c:cat>
          <c:val>
            <c:numRef>
              <c:f>Segment_Day!$G$6:$G$12</c:f>
              <c:numCache>
                <c:formatCode>0.000%</c:formatCode>
                <c:ptCount val="7"/>
                <c:pt idx="0">
                  <c:v>0.0225585379782981</c:v>
                </c:pt>
                <c:pt idx="1">
                  <c:v>0.0144478844169247</c:v>
                </c:pt>
                <c:pt idx="2">
                  <c:v>0.0157593123209169</c:v>
                </c:pt>
                <c:pt idx="3">
                  <c:v>0.0202304737516005</c:v>
                </c:pt>
                <c:pt idx="4">
                  <c:v>0.0163029187483566</c:v>
                </c:pt>
                <c:pt idx="5">
                  <c:v>0.0139958012596221</c:v>
                </c:pt>
                <c:pt idx="6">
                  <c:v>0.0205949656750572</c:v>
                </c:pt>
              </c:numCache>
            </c:numRef>
          </c:val>
        </c:ser>
        <c:gapWidth val="150"/>
        <c:overlap val="0"/>
        <c:axId val="63769447"/>
        <c:axId val="38636246"/>
      </c:barChart>
      <c:catAx>
        <c:axId val="6376944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36246"/>
        <c:crosses val="autoZero"/>
        <c:auto val="1"/>
        <c:lblAlgn val="ctr"/>
        <c:lblOffset val="100"/>
        <c:noMultiLvlLbl val="0"/>
      </c:catAx>
      <c:valAx>
        <c:axId val="386362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Conversion rate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7694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users by ads seen: Ad vs PSA</a:t>
            </a:r>
          </a:p>
        </c:rich>
      </c:tx>
      <c:overlay val="0"/>
      <c:spPr>
        <a:noFill/>
        <a:ln w="0">
          <a:noFill/>
        </a:ln>
      </c:spPr>
    </c:title>
    <c:autoTitleDeleted val="0"/>
    <c:plotArea>
      <c:barChart>
        <c:barDir val="col"/>
        <c:grouping val="clustered"/>
        <c:varyColors val="0"/>
        <c:ser>
          <c:idx val="0"/>
          <c:order val="0"/>
          <c:tx>
            <c:strRef>
              <c:f>Balance_Check!D4</c:f>
              <c:strCache>
                <c:ptCount val="1"/>
                <c:pt idx="0">
                  <c:v>Ad share</c:v>
                </c:pt>
              </c:strCache>
            </c:strRef>
          </c:tx>
          <c:spPr>
            <a:solidFill>
              <a:srgbClr val="2f55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Balance_Check!$A$5:$A$11</c:f>
              <c:strCache>
                <c:ptCount val="7"/>
                <c:pt idx="0">
                  <c:v>1</c:v>
                </c:pt>
                <c:pt idx="1">
                  <c:v>2-5</c:v>
                </c:pt>
                <c:pt idx="2">
                  <c:v>6-10</c:v>
                </c:pt>
                <c:pt idx="3">
                  <c:v>11-20</c:v>
                </c:pt>
                <c:pt idx="4">
                  <c:v>21-50</c:v>
                </c:pt>
                <c:pt idx="5">
                  <c:v>51-100</c:v>
                </c:pt>
                <c:pt idx="6">
                  <c:v>101+</c:v>
                </c:pt>
              </c:strCache>
            </c:strRef>
          </c:cat>
          <c:val>
            <c:numRef>
              <c:f>Balance_Check!$D$5:$D$11</c:f>
              <c:numCache>
                <c:formatCode>0.00%</c:formatCode>
                <c:ptCount val="7"/>
                <c:pt idx="0">
                  <c:v>0.0961746581954277</c:v>
                </c:pt>
                <c:pt idx="1">
                  <c:v>0.204868423616265</c:v>
                </c:pt>
                <c:pt idx="2">
                  <c:v>0.140878923512648</c:v>
                </c:pt>
                <c:pt idx="3">
                  <c:v>0.218453815865684</c:v>
                </c:pt>
                <c:pt idx="4">
                  <c:v>0.222362937207857</c:v>
                </c:pt>
                <c:pt idx="5">
                  <c:v>0.0781983679816925</c:v>
                </c:pt>
                <c:pt idx="6">
                  <c:v>0.0390628736204273</c:v>
                </c:pt>
              </c:numCache>
            </c:numRef>
          </c:val>
        </c:ser>
        <c:ser>
          <c:idx val="1"/>
          <c:order val="1"/>
          <c:tx>
            <c:strRef>
              <c:f>Balance_Check!E4</c:f>
              <c:strCache>
                <c:ptCount val="1"/>
                <c:pt idx="0">
                  <c:v>PSA share</c:v>
                </c:pt>
              </c:strCache>
            </c:strRef>
          </c:tx>
          <c:spPr>
            <a:solidFill>
              <a:srgbClr val="ed7d3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Balance_Check!$A$5:$A$11</c:f>
              <c:strCache>
                <c:ptCount val="7"/>
                <c:pt idx="0">
                  <c:v>1</c:v>
                </c:pt>
                <c:pt idx="1">
                  <c:v>2-5</c:v>
                </c:pt>
                <c:pt idx="2">
                  <c:v>6-10</c:v>
                </c:pt>
                <c:pt idx="3">
                  <c:v>11-20</c:v>
                </c:pt>
                <c:pt idx="4">
                  <c:v>21-50</c:v>
                </c:pt>
                <c:pt idx="5">
                  <c:v>51-100</c:v>
                </c:pt>
                <c:pt idx="6">
                  <c:v>101+</c:v>
                </c:pt>
              </c:strCache>
            </c:strRef>
          </c:cat>
          <c:val>
            <c:numRef>
              <c:f>Balance_Check!$E$5:$E$11</c:f>
              <c:numCache>
                <c:formatCode>0.00%</c:formatCode>
                <c:ptCount val="7"/>
                <c:pt idx="0">
                  <c:v>0.0981125658901547</c:v>
                </c:pt>
                <c:pt idx="1">
                  <c:v>0.236056793062404</c:v>
                </c:pt>
                <c:pt idx="2">
                  <c:v>0.14517088930454</c:v>
                </c:pt>
                <c:pt idx="3">
                  <c:v>0.176415575582384</c:v>
                </c:pt>
                <c:pt idx="4">
                  <c:v>0.222538683897296</c:v>
                </c:pt>
                <c:pt idx="5">
                  <c:v>0.0787706172419657</c:v>
                </c:pt>
                <c:pt idx="6">
                  <c:v>0.0429348750212549</c:v>
                </c:pt>
              </c:numCache>
            </c:numRef>
          </c:val>
        </c:ser>
        <c:gapWidth val="150"/>
        <c:overlap val="0"/>
        <c:axId val="2742032"/>
        <c:axId val="12549594"/>
      </c:barChart>
      <c:catAx>
        <c:axId val="274203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Total ads seen</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2549594"/>
        <c:crosses val="autoZero"/>
        <c:auto val="1"/>
        <c:lblAlgn val="ctr"/>
        <c:lblOffset val="100"/>
        <c:noMultiLvlLbl val="0"/>
      </c:catAx>
      <c:valAx>
        <c:axId val="125495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group</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74203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9</xdr:col>
      <xdr:colOff>255600</xdr:colOff>
      <xdr:row>18</xdr:row>
      <xdr:rowOff>172080</xdr:rowOff>
    </xdr:to>
    <xdr:graphicFrame>
      <xdr:nvGraphicFramePr>
        <xdr:cNvPr id="0" name="Chart 1"/>
        <xdr:cNvGraphicFramePr/>
      </xdr:nvGraphicFramePr>
      <xdr:xfrm>
        <a:off x="0" y="570600"/>
        <a:ext cx="575928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160920</xdr:rowOff>
    </xdr:from>
    <xdr:to>
      <xdr:col>19</xdr:col>
      <xdr:colOff>255600</xdr:colOff>
      <xdr:row>18</xdr:row>
      <xdr:rowOff>172080</xdr:rowOff>
    </xdr:to>
    <xdr:graphicFrame>
      <xdr:nvGraphicFramePr>
        <xdr:cNvPr id="1" name="Chart 2"/>
        <xdr:cNvGraphicFramePr/>
      </xdr:nvGraphicFramePr>
      <xdr:xfrm>
        <a:off x="6114960" y="570600"/>
        <a:ext cx="5759280" cy="305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160920</xdr:rowOff>
    </xdr:from>
    <xdr:to>
      <xdr:col>9</xdr:col>
      <xdr:colOff>255600</xdr:colOff>
      <xdr:row>37</xdr:row>
      <xdr:rowOff>172080</xdr:rowOff>
    </xdr:to>
    <xdr:graphicFrame>
      <xdr:nvGraphicFramePr>
        <xdr:cNvPr id="2" name="Chart 3"/>
        <xdr:cNvGraphicFramePr/>
      </xdr:nvGraphicFramePr>
      <xdr:xfrm>
        <a:off x="0" y="4190040"/>
        <a:ext cx="575928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21</xdr:row>
      <xdr:rowOff>160920</xdr:rowOff>
    </xdr:from>
    <xdr:to>
      <xdr:col>19</xdr:col>
      <xdr:colOff>255600</xdr:colOff>
      <xdr:row>37</xdr:row>
      <xdr:rowOff>172080</xdr:rowOff>
    </xdr:to>
    <xdr:graphicFrame>
      <xdr:nvGraphicFramePr>
        <xdr:cNvPr id="3" name="Chart 4"/>
        <xdr:cNvGraphicFramePr/>
      </xdr:nvGraphicFramePr>
      <xdr:xfrm>
        <a:off x="6114960" y="4190040"/>
        <a:ext cx="57592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40</xdr:row>
      <xdr:rowOff>0</xdr:rowOff>
    </xdr:from>
    <xdr:to>
      <xdr:col>8</xdr:col>
      <xdr:colOff>507600</xdr:colOff>
      <xdr:row>54</xdr:row>
      <xdr:rowOff>32760</xdr:rowOff>
    </xdr:to>
    <xdr:graphicFrame>
      <xdr:nvGraphicFramePr>
        <xdr:cNvPr id="4" name="Chart 5"/>
        <xdr:cNvGraphicFramePr/>
      </xdr:nvGraphicFramePr>
      <xdr:xfrm>
        <a:off x="0" y="7648560"/>
        <a:ext cx="539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30" hidden="false" customHeight="true" outlineLevel="0" collapsed="false">
      <c r="A4" s="4" t="s">
        <v>2</v>
      </c>
      <c r="B4" s="5" t="s">
        <v>3</v>
      </c>
    </row>
    <row r="5" customFormat="false" ht="30" hidden="false" customHeight="true" outlineLevel="0" collapsed="false">
      <c r="A5" s="4" t="s">
        <v>4</v>
      </c>
      <c r="B5" s="5" t="s">
        <v>5</v>
      </c>
    </row>
    <row r="6" customFormat="false" ht="30" hidden="false" customHeight="true" outlineLevel="0" collapsed="false">
      <c r="A6" s="4" t="s">
        <v>6</v>
      </c>
      <c r="B6" s="5" t="str">
        <f aca="false">TEXT(Summary!B7,"0.000%")&amp;" (ad) vs "&amp;TEXT(Summary!C7,"0.000%")&amp;" (PSA): +"&amp;TEXT(Summary!B8*100,"0.000")&amp;" pp absolute, "&amp;TEXT(Summary!B9,"0.0%")&amp;" relative lift."</f>
        <v>2.555% (ad) vs 1.785% (PSA): +0.769 pp absolute, 43.1% relative lift.</v>
      </c>
    </row>
    <row r="7" customFormat="false" ht="30" hidden="false" customHeight="true" outlineLevel="0" collapsed="false">
      <c r="A7" s="4" t="s">
        <v>7</v>
      </c>
      <c r="B7" s="5" t="str">
        <f aca="false">"z = "&amp;TEXT(Statistical_Test!B11,"0.000")&amp;", two-sided p = "&amp;TEXT(Statistical_Test!B12,"0.00E+00")&amp;", 95% CI for difference = ["&amp;TEXT(Statistical_Test!B15*100,"0.000")&amp;", "&amp;TEXT(Statistical_Test!B16*100,"0.000")&amp;"] pp."</f>
        <v>z = 7.370, two-sided p = 1.71E-13, 95% CI for difference = [0.595, 0.943] pp.</v>
      </c>
    </row>
    <row r="8" customFormat="false" ht="30" hidden="false" customHeight="true" outlineLevel="0" collapsed="false">
      <c r="A8" s="4" t="s">
        <v>8</v>
      </c>
      <c r="B8" s="5" t="str">
        <f aca="false">"The lift is concentrated in heavily-exposed users: those who saw 21+ ads account for "&amp;TEXT(Segment_Frequency!B27,"0%")&amp;" of band-level incremental conversions ("&amp;TEXT(Segment_Frequency!B28,"0%")&amp;" from 51+). Below 21 ads there is no significant difference. Exposure profiles also differ between groups (Balance_Check), so verify assignment."</f>
        <v>The lift is concentrated in heavily-exposed users: those who saw 21+ ads account for 104% of band-level incremental conversions (83% from 51+). Below 21 ads there is no significant difference. Exposure profiles also differ between groups (Balance_Check), so verify assignment.</v>
      </c>
    </row>
    <row r="9" customFormat="false" ht="30" hidden="false" customHeight="true" outlineLevel="0" collapsed="false">
      <c r="A9" s="4" t="s">
        <v>9</v>
      </c>
      <c r="B9" s="5" t="s">
        <v>10</v>
      </c>
    </row>
    <row r="10" customFormat="false" ht="30" hidden="false" customHeight="true" outlineLevel="0" collapsed="false">
      <c r="A10" s="4" t="s">
        <v>11</v>
      </c>
      <c r="B10" s="5" t="s">
        <v>12</v>
      </c>
    </row>
    <row r="11" customFormat="false" ht="30" hidden="false" customHeight="true" outlineLevel="0" collapsed="false">
      <c r="A11" s="4"/>
      <c r="B11" s="5"/>
    </row>
    <row r="12" customFormat="false" ht="30" hidden="false" customHeight="true" outlineLevel="0" collapsed="false">
      <c r="A12" s="4" t="s">
        <v>13</v>
      </c>
      <c r="B12" s="5"/>
    </row>
    <row r="13" customFormat="false" ht="30" hidden="false" customHeight="true" outlineLevel="0" collapsed="false">
      <c r="A13" s="4" t="s">
        <v>14</v>
      </c>
      <c r="B13" s="5" t="s">
        <v>15</v>
      </c>
    </row>
    <row r="14" customFormat="false" ht="30" hidden="false" customHeight="true" outlineLevel="0" collapsed="false">
      <c r="A14" s="4" t="s">
        <v>16</v>
      </c>
      <c r="B14" s="5" t="s">
        <v>17</v>
      </c>
    </row>
    <row r="15" customFormat="false" ht="30" hidden="false" customHeight="true" outlineLevel="0" collapsed="false">
      <c r="A15" s="4" t="s">
        <v>18</v>
      </c>
      <c r="B15" s="5" t="s">
        <v>19</v>
      </c>
    </row>
    <row r="16" customFormat="false" ht="30" hidden="false" customHeight="true" outlineLevel="0" collapsed="false">
      <c r="A16" s="4" t="s">
        <v>20</v>
      </c>
      <c r="B16" s="5" t="s">
        <v>21</v>
      </c>
    </row>
    <row r="17" customFormat="false" ht="30" hidden="false" customHeight="true" outlineLevel="0" collapsed="false">
      <c r="A17" s="4" t="s">
        <v>22</v>
      </c>
      <c r="B17" s="5" t="s">
        <v>23</v>
      </c>
    </row>
    <row r="18" customFormat="false" ht="30" hidden="false" customHeight="true" outlineLevel="0" collapsed="false">
      <c r="A18" s="4" t="s">
        <v>24</v>
      </c>
      <c r="B18" s="5" t="s">
        <v>25</v>
      </c>
    </row>
    <row r="19" customFormat="false" ht="30" hidden="false" customHeight="true" outlineLevel="0" collapsed="false">
      <c r="A19" s="4" t="s">
        <v>26</v>
      </c>
      <c r="B19" s="5" t="s">
        <v>27</v>
      </c>
    </row>
    <row r="20" customFormat="false" ht="30" hidden="false" customHeight="true" outlineLevel="0" collapsed="false">
      <c r="A20" s="4" t="s">
        <v>28</v>
      </c>
      <c r="B20" s="5" t="s">
        <v>29</v>
      </c>
    </row>
    <row r="21" customFormat="false" ht="30" hidden="false" customHeight="true" outlineLevel="0" collapsed="false">
      <c r="A21" s="4" t="s">
        <v>30</v>
      </c>
      <c r="B21" s="5" t="s">
        <v>31</v>
      </c>
    </row>
    <row r="22" customFormat="false" ht="30" hidden="false" customHeight="true" outlineLevel="0" collapsed="false">
      <c r="A22" s="4" t="s">
        <v>32</v>
      </c>
      <c r="B22" s="5" t="s">
        <v>33</v>
      </c>
    </row>
    <row r="23" customFormat="false" ht="30" hidden="false" customHeight="true" outlineLevel="0" collapsed="false">
      <c r="A23" s="4" t="s">
        <v>34</v>
      </c>
      <c r="B23" s="5" t="s">
        <v>35</v>
      </c>
    </row>
    <row r="25" customFormat="false" ht="15" hidden="false" customHeight="false" outlineLevel="0" collapsed="false">
      <c r="A25" s="4" t="s">
        <v>36</v>
      </c>
      <c r="B25" s="5"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60"/>
  </cols>
  <sheetData>
    <row r="1" customFormat="false" ht="17.25" hidden="false" customHeight="true" outlineLevel="0" collapsed="false">
      <c r="A1" s="2" t="s">
        <v>14</v>
      </c>
    </row>
    <row r="2" customFormat="false" ht="15" hidden="false" customHeight="true" outlineLevel="0" collapsed="false">
      <c r="A2" s="3" t="s">
        <v>38</v>
      </c>
    </row>
    <row r="3" customFormat="false" ht="15" hidden="false" customHeight="true" outlineLevel="0" collapsed="false">
      <c r="A3" s="6" t="s">
        <v>39</v>
      </c>
      <c r="B3" s="6" t="s">
        <v>40</v>
      </c>
      <c r="C3" s="6" t="s">
        <v>41</v>
      </c>
    </row>
    <row r="4" customFormat="false" ht="15" hidden="false" customHeight="true" outlineLevel="0" collapsed="false">
      <c r="A4" s="7" t="s">
        <v>42</v>
      </c>
      <c r="B4" s="8" t="n">
        <v>564577</v>
      </c>
      <c r="C4" s="9" t="s">
        <v>43</v>
      </c>
    </row>
    <row r="5" customFormat="false" ht="15" hidden="false" customHeight="true" outlineLevel="0" collapsed="false">
      <c r="A5" s="7" t="s">
        <v>44</v>
      </c>
      <c r="B5" s="8" t="n">
        <v>14423</v>
      </c>
      <c r="C5" s="9" t="s">
        <v>45</v>
      </c>
    </row>
    <row r="6" customFormat="false" ht="15" hidden="false" customHeight="true" outlineLevel="0" collapsed="false">
      <c r="A6" s="7" t="s">
        <v>46</v>
      </c>
      <c r="B6" s="8" t="n">
        <v>23524</v>
      </c>
      <c r="C6" s="9" t="s">
        <v>47</v>
      </c>
    </row>
    <row r="7" customFormat="false" ht="15" hidden="false" customHeight="true" outlineLevel="0" collapsed="false">
      <c r="A7" s="7" t="s">
        <v>48</v>
      </c>
      <c r="B7" s="8" t="n">
        <v>420</v>
      </c>
      <c r="C7" s="9" t="s">
        <v>49</v>
      </c>
    </row>
    <row r="8" customFormat="false" ht="15" hidden="false" customHeight="true" outlineLevel="0" collapsed="false">
      <c r="A8" s="7" t="s">
        <v>50</v>
      </c>
      <c r="B8" s="8" t="n">
        <v>14014701</v>
      </c>
      <c r="C8" s="9" t="s">
        <v>51</v>
      </c>
    </row>
    <row r="9" customFormat="false" ht="15" hidden="false" customHeight="true" outlineLevel="0" collapsed="false">
      <c r="A9" s="7" t="s">
        <v>52</v>
      </c>
      <c r="B9" s="8" t="n">
        <v>582481</v>
      </c>
      <c r="C9" s="9" t="s">
        <v>53</v>
      </c>
    </row>
    <row r="10" customFormat="false" ht="15" hidden="false" customHeight="true" outlineLevel="0" collapsed="false">
      <c r="A10" s="7" t="s">
        <v>54</v>
      </c>
      <c r="B10" s="10" t="n">
        <v>0.05</v>
      </c>
      <c r="C10" s="9" t="s">
        <v>55</v>
      </c>
    </row>
    <row r="11" customFormat="false" ht="15" hidden="false" customHeight="true" outlineLevel="0" collapsed="false">
      <c r="A11" s="7" t="s">
        <v>56</v>
      </c>
      <c r="B11" s="11" t="n">
        <f aca="false">1-B10</f>
        <v>0.95</v>
      </c>
      <c r="C11" s="9" t="s">
        <v>57</v>
      </c>
    </row>
    <row r="12" customFormat="false" ht="15" hidden="false" customHeight="true" outlineLevel="0" collapsed="false">
      <c r="A12" s="7" t="s">
        <v>58</v>
      </c>
      <c r="B12" s="12" t="n">
        <v>0.8</v>
      </c>
      <c r="C12" s="9" t="s">
        <v>59</v>
      </c>
    </row>
    <row r="13" customFormat="false" ht="15" hidden="false" customHeight="true" outlineLevel="0" collapsed="false">
      <c r="A13" s="7" t="s">
        <v>60</v>
      </c>
      <c r="B13" s="10" t="n">
        <v>24.8234</v>
      </c>
      <c r="C13" s="9" t="s">
        <v>61</v>
      </c>
    </row>
    <row r="14" customFormat="false" ht="15" hidden="false" customHeight="true" outlineLevel="0" collapsed="false">
      <c r="A14" s="7" t="s">
        <v>62</v>
      </c>
      <c r="B14" s="10" t="n">
        <v>24.7611</v>
      </c>
      <c r="C14" s="9" t="s">
        <v>63</v>
      </c>
    </row>
    <row r="15" customFormat="false" ht="15" hidden="false" customHeight="true" outlineLevel="0" collapsed="false">
      <c r="A15" s="7" t="s">
        <v>64</v>
      </c>
      <c r="B15" s="13" t="n">
        <v>13</v>
      </c>
      <c r="C15" s="9" t="s">
        <v>65</v>
      </c>
    </row>
    <row r="16" customFormat="false" ht="15" hidden="false" customHeight="true" outlineLevel="0" collapsed="false">
      <c r="A16" s="7" t="s">
        <v>66</v>
      </c>
      <c r="B16" s="13" t="n">
        <v>12</v>
      </c>
      <c r="C16" s="9"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6"/>
    <col collapsed="false" customWidth="true" hidden="false" outlineLevel="0" max="4" min="4" style="1" width="12"/>
  </cols>
  <sheetData>
    <row r="1" customFormat="false" ht="17.25" hidden="false" customHeight="true" outlineLevel="0" collapsed="false">
      <c r="A1" s="2" t="s">
        <v>68</v>
      </c>
    </row>
    <row r="2" customFormat="false" ht="15" hidden="false" customHeight="true" outlineLevel="0" collapsed="false">
      <c r="A2" s="3" t="s">
        <v>69</v>
      </c>
    </row>
    <row r="4" customFormat="false" ht="15" hidden="false" customHeight="true" outlineLevel="0" collapsed="false">
      <c r="A4" s="6" t="s">
        <v>70</v>
      </c>
      <c r="B4" s="6" t="s">
        <v>71</v>
      </c>
      <c r="C4" s="6" t="s">
        <v>72</v>
      </c>
      <c r="D4" s="6" t="s">
        <v>73</v>
      </c>
    </row>
    <row r="5" customFormat="false" ht="15" hidden="false" customHeight="true" outlineLevel="0" collapsed="false">
      <c r="A5" s="14" t="s">
        <v>74</v>
      </c>
      <c r="B5" s="8" t="n">
        <v>588101</v>
      </c>
      <c r="C5" s="8"/>
      <c r="D5" s="15" t="str">
        <f aca="false">IF(C5="","info",IF(B5=C5,"OK","CHECK"))</f>
        <v>info</v>
      </c>
    </row>
    <row r="6" customFormat="false" ht="15" hidden="false" customHeight="true" outlineLevel="0" collapsed="false">
      <c r="A6" s="14" t="s">
        <v>75</v>
      </c>
      <c r="B6" s="8" t="n">
        <v>588101</v>
      </c>
      <c r="C6" s="8" t="n">
        <v>588101</v>
      </c>
      <c r="D6" s="15" t="str">
        <f aca="false">IF(C6="","info",IF(B6=C6,"OK","CHECK"))</f>
        <v>OK</v>
      </c>
    </row>
    <row r="7" customFormat="false" ht="15" hidden="false" customHeight="true" outlineLevel="0" collapsed="false">
      <c r="A7" s="14" t="s">
        <v>76</v>
      </c>
      <c r="B7" s="8" t="n">
        <v>0</v>
      </c>
      <c r="C7" s="8" t="n">
        <v>0</v>
      </c>
      <c r="D7" s="15" t="str">
        <f aca="false">IF(C7="","info",IF(B7=C7,"OK","CHECK"))</f>
        <v>OK</v>
      </c>
    </row>
    <row r="8" customFormat="false" ht="15" hidden="false" customHeight="true" outlineLevel="0" collapsed="false">
      <c r="A8" s="14" t="s">
        <v>77</v>
      </c>
      <c r="B8" s="8" t="n">
        <v>0</v>
      </c>
      <c r="C8" s="8" t="n">
        <v>0</v>
      </c>
      <c r="D8" s="15" t="str">
        <f aca="false">IF(C8="","info",IF(B8=C8,"OK","CHECK"))</f>
        <v>OK</v>
      </c>
    </row>
    <row r="9" customFormat="false" ht="15" hidden="false" customHeight="true" outlineLevel="0" collapsed="false">
      <c r="A9" s="14" t="s">
        <v>78</v>
      </c>
      <c r="B9" s="8" t="n">
        <v>0</v>
      </c>
      <c r="C9" s="8" t="n">
        <v>0</v>
      </c>
      <c r="D9" s="15" t="str">
        <f aca="false">IF(C9="","info",IF(B9=C9,"OK","CHECK"))</f>
        <v>OK</v>
      </c>
    </row>
    <row r="10" customFormat="false" ht="15" hidden="false" customHeight="true" outlineLevel="0" collapsed="false">
      <c r="A10" s="14" t="s">
        <v>79</v>
      </c>
      <c r="B10" s="8" t="n">
        <v>0</v>
      </c>
      <c r="C10" s="8" t="n">
        <v>0</v>
      </c>
      <c r="D10" s="15" t="str">
        <f aca="false">IF(C10="","info",IF(B10=C10,"OK","CHECK"))</f>
        <v>OK</v>
      </c>
    </row>
    <row r="11" customFormat="false" ht="15" hidden="false" customHeight="true" outlineLevel="0" collapsed="false">
      <c r="A11" s="14" t="s">
        <v>80</v>
      </c>
      <c r="B11" s="8" t="n">
        <v>0</v>
      </c>
      <c r="C11" s="8" t="n">
        <v>0</v>
      </c>
      <c r="D11" s="15" t="str">
        <f aca="false">IF(C11="","info",IF(B11=C11,"OK","CHECK"))</f>
        <v>OK</v>
      </c>
    </row>
    <row r="12" customFormat="false" ht="15" hidden="false" customHeight="true" outlineLevel="0" collapsed="false">
      <c r="A12" s="14" t="s">
        <v>81</v>
      </c>
      <c r="B12" s="8" t="n">
        <v>0</v>
      </c>
      <c r="C12" s="8" t="n">
        <v>0</v>
      </c>
      <c r="D12" s="15" t="str">
        <f aca="false">IF(C12="","info",IF(B12=C12,"OK","CHECK"))</f>
        <v>OK</v>
      </c>
    </row>
    <row r="13" customFormat="false" ht="15" hidden="false" customHeight="true" outlineLevel="0" collapsed="false">
      <c r="A13" s="14" t="s">
        <v>82</v>
      </c>
      <c r="B13" s="8" t="n">
        <v>0</v>
      </c>
      <c r="C13" s="8" t="n">
        <v>0</v>
      </c>
      <c r="D13" s="15" t="str">
        <f aca="false">IF(C13="","info",IF(B13=C13,"OK","CHECK"))</f>
        <v>OK</v>
      </c>
    </row>
    <row r="14" customFormat="false" ht="15" hidden="false" customHeight="true" outlineLevel="0" collapsed="false">
      <c r="A14" s="14" t="s">
        <v>83</v>
      </c>
      <c r="B14" s="8" t="n">
        <v>0</v>
      </c>
      <c r="C14" s="8" t="n">
        <v>0</v>
      </c>
      <c r="D14" s="15" t="str">
        <f aca="false">IF(C14="","info",IF(B14=C14,"OK","CHECK"))</f>
        <v>OK</v>
      </c>
    </row>
    <row r="16" customFormat="false" ht="15" hidden="false" customHeight="true" outlineLevel="0" collapsed="false">
      <c r="A16" s="16" t="s">
        <v>84</v>
      </c>
    </row>
    <row r="17" customFormat="false" ht="15" hidden="false" customHeight="true" outlineLevel="0" collapsed="false">
      <c r="A17" s="14" t="s">
        <v>85</v>
      </c>
      <c r="B17" s="17" t="n">
        <f aca="false">Inputs!B4+Inputs!B6</f>
        <v>588101</v>
      </c>
      <c r="C17" s="17" t="n">
        <f aca="false">B5</f>
        <v>588101</v>
      </c>
      <c r="D17" s="15" t="str">
        <f aca="false">IF(B17=C17,"OK","CHECK")</f>
        <v>OK</v>
      </c>
    </row>
    <row r="18" customFormat="false" ht="15" hidden="false" customHeight="true" outlineLevel="0" collapsed="false">
      <c r="A18" s="14" t="s">
        <v>86</v>
      </c>
      <c r="B18" s="17" t="n">
        <f aca="false">Segment_Day!B13</f>
        <v>564577</v>
      </c>
      <c r="C18" s="17" t="n">
        <f aca="false">Inputs!B4</f>
        <v>564577</v>
      </c>
      <c r="D18" s="15" t="str">
        <f aca="false">IF(B18=C18,"OK","CHECK")</f>
        <v>OK</v>
      </c>
    </row>
    <row r="19" customFormat="false" ht="15" hidden="false" customHeight="true" outlineLevel="0" collapsed="false">
      <c r="A19" s="14" t="s">
        <v>87</v>
      </c>
      <c r="B19" s="17" t="n">
        <f aca="false">Segment_Day!D13</f>
        <v>23524</v>
      </c>
      <c r="C19" s="17" t="n">
        <f aca="false">Inputs!B6</f>
        <v>23524</v>
      </c>
      <c r="D19" s="15" t="str">
        <f aca="false">IF(B19=C19,"OK","CHECK")</f>
        <v>OK</v>
      </c>
    </row>
    <row r="20" customFormat="false" ht="15" hidden="false" customHeight="true" outlineLevel="0" collapsed="false">
      <c r="A20" s="14" t="s">
        <v>88</v>
      </c>
      <c r="B20" s="17" t="n">
        <f aca="false">Segment_Day!C13+Segment_Day!E13</f>
        <v>14843</v>
      </c>
      <c r="C20" s="17" t="n">
        <f aca="false">Inputs!B5+Inputs!B7</f>
        <v>14843</v>
      </c>
      <c r="D20" s="15" t="str">
        <f aca="false">IF(B20=C20,"OK","CHECK")</f>
        <v>OK</v>
      </c>
    </row>
    <row r="21" customFormat="false" ht="15" hidden="false" customHeight="true" outlineLevel="0" collapsed="false">
      <c r="A21" s="14" t="s">
        <v>89</v>
      </c>
      <c r="B21" s="17" t="n">
        <f aca="false">Segment_Frequency!B13</f>
        <v>564577</v>
      </c>
      <c r="C21" s="17" t="n">
        <f aca="false">Inputs!B4</f>
        <v>564577</v>
      </c>
      <c r="D21" s="15" t="str">
        <f aca="false">IF(B21=C21,"OK","CHECK")</f>
        <v>OK</v>
      </c>
    </row>
    <row r="22" customFormat="false" ht="15" hidden="false" customHeight="true" outlineLevel="0" collapsed="false">
      <c r="A22" s="14" t="s">
        <v>90</v>
      </c>
      <c r="B22" s="17" t="n">
        <f aca="false">Segment_Frequency!D13</f>
        <v>23524</v>
      </c>
      <c r="C22" s="17" t="n">
        <f aca="false">Inputs!B6</f>
        <v>23524</v>
      </c>
      <c r="D22" s="15" t="str">
        <f aca="false">IF(B22=C22,"OK","CHECK")</f>
        <v>OK</v>
      </c>
    </row>
    <row r="23" customFormat="false" ht="15" hidden="false" customHeight="true" outlineLevel="0" collapsed="false">
      <c r="A23" s="14" t="s">
        <v>91</v>
      </c>
      <c r="B23" s="17" t="n">
        <f aca="false">Segment_Frequency!C13+Segment_Frequency!E13</f>
        <v>14843</v>
      </c>
      <c r="C23" s="17" t="n">
        <f aca="false">Inputs!B5+Inputs!B7</f>
        <v>14843</v>
      </c>
      <c r="D23" s="15" t="str">
        <f aca="false">IF(B23=C23,"OK","CHECK")</f>
        <v>OK</v>
      </c>
    </row>
    <row r="25" customFormat="false" ht="15" hidden="false" customHeight="true" outlineLevel="0" collapsed="false">
      <c r="A25" s="3" t="s">
        <v>92</v>
      </c>
    </row>
  </sheetData>
  <conditionalFormatting sqref="D5:D23">
    <cfRule type="cellIs" priority="2" operator="equal" aboveAverage="0" equalAverage="0" bottom="0" percent="0" rank="0" text="" dxfId="0">
      <formula>"OK"</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18"/>
    <col collapsed="false" customWidth="true" hidden="false" outlineLevel="0" max="4" min="4" style="1" width="56"/>
  </cols>
  <sheetData>
    <row r="1" customFormat="false" ht="17.25" hidden="false" customHeight="true" outlineLevel="0" collapsed="false">
      <c r="A1" s="2" t="s">
        <v>18</v>
      </c>
    </row>
    <row r="2" customFormat="false" ht="15" hidden="false" customHeight="true" outlineLevel="0" collapsed="false">
      <c r="A2" s="3" t="s">
        <v>93</v>
      </c>
    </row>
    <row r="4" customFormat="false" ht="15" hidden="false" customHeight="true" outlineLevel="0" collapsed="false">
      <c r="A4" s="6" t="s">
        <v>94</v>
      </c>
      <c r="B4" s="6" t="s">
        <v>95</v>
      </c>
      <c r="C4" s="6" t="s">
        <v>96</v>
      </c>
      <c r="D4" s="6" t="s">
        <v>97</v>
      </c>
    </row>
    <row r="5" customFormat="false" ht="15" hidden="false" customHeight="true" outlineLevel="0" collapsed="false">
      <c r="A5" s="14" t="s">
        <v>98</v>
      </c>
      <c r="B5" s="17" t="n">
        <f aca="false">Inputs!B4</f>
        <v>564577</v>
      </c>
      <c r="C5" s="17" t="n">
        <f aca="false">Inputs!B6</f>
        <v>23524</v>
      </c>
      <c r="D5" s="9" t="s">
        <v>99</v>
      </c>
    </row>
    <row r="6" customFormat="false" ht="15" hidden="false" customHeight="true" outlineLevel="0" collapsed="false">
      <c r="A6" s="14" t="s">
        <v>100</v>
      </c>
      <c r="B6" s="17" t="n">
        <f aca="false">Inputs!B5</f>
        <v>14423</v>
      </c>
      <c r="C6" s="17" t="n">
        <f aca="false">Inputs!B7</f>
        <v>420</v>
      </c>
      <c r="D6" s="9" t="s">
        <v>101</v>
      </c>
    </row>
    <row r="7" customFormat="false" ht="15" hidden="false" customHeight="true" outlineLevel="0" collapsed="false">
      <c r="A7" s="14" t="s">
        <v>102</v>
      </c>
      <c r="B7" s="18" t="n">
        <f aca="false">B6/B5</f>
        <v>0.0255465596366837</v>
      </c>
      <c r="C7" s="18" t="n">
        <f aca="false">C6/C5</f>
        <v>0.0178541064444822</v>
      </c>
      <c r="D7" s="9" t="s">
        <v>103</v>
      </c>
    </row>
    <row r="8" customFormat="false" ht="15" hidden="false" customHeight="true" outlineLevel="0" collapsed="false">
      <c r="A8" s="14" t="s">
        <v>104</v>
      </c>
      <c r="B8" s="18" t="n">
        <f aca="false">B7-C7</f>
        <v>0.00769245319220152</v>
      </c>
      <c r="C8" s="18"/>
      <c r="D8" s="9" t="s">
        <v>105</v>
      </c>
    </row>
    <row r="9" customFormat="false" ht="15" hidden="false" customHeight="true" outlineLevel="0" collapsed="false">
      <c r="A9" s="14" t="s">
        <v>106</v>
      </c>
      <c r="B9" s="19" t="n">
        <f aca="false">B8/C7</f>
        <v>0.430850640222258</v>
      </c>
      <c r="C9" s="19"/>
      <c r="D9" s="9" t="s">
        <v>107</v>
      </c>
    </row>
    <row r="10" customFormat="false" ht="15" hidden="false" customHeight="true" outlineLevel="0" collapsed="false">
      <c r="A10" s="14" t="s">
        <v>108</v>
      </c>
      <c r="B10" s="19" t="n">
        <f aca="false">B5/(B5+C5)</f>
        <v>0.960000068015528</v>
      </c>
      <c r="C10" s="19" t="n">
        <f aca="false">C5/(B5+C5)</f>
        <v>0.0399999319844721</v>
      </c>
      <c r="D10" s="9" t="s">
        <v>109</v>
      </c>
    </row>
    <row r="11" customFormat="false" ht="15" hidden="false" customHeight="true" outlineLevel="0" collapsed="false">
      <c r="A11" s="14" t="s">
        <v>110</v>
      </c>
      <c r="B11" s="20" t="n">
        <f aca="false">2*(ASIN(SQRT(B7))-ASIN(SQRT(C7)))</f>
        <v>0.0530025786060309</v>
      </c>
      <c r="C11" s="20"/>
      <c r="D11" s="9" t="s">
        <v>111</v>
      </c>
    </row>
    <row r="12" customFormat="false" ht="15" hidden="false" customHeight="true" outlineLevel="0" collapsed="false">
      <c r="A12" s="14" t="s">
        <v>112</v>
      </c>
      <c r="B12" s="21" t="n">
        <f aca="false">B8*B5</f>
        <v>4342.98214589356</v>
      </c>
      <c r="C12" s="21"/>
      <c r="D12" s="9" t="s">
        <v>113</v>
      </c>
    </row>
    <row r="13" customFormat="false" ht="15" hidden="false" customHeight="true" outlineLevel="0" collapsed="false">
      <c r="A13" s="14" t="s">
        <v>114</v>
      </c>
      <c r="B13" s="22" t="n">
        <f aca="false">B12/B6</f>
        <v>0.301115034728805</v>
      </c>
      <c r="C13" s="22"/>
      <c r="D13" s="9" t="s">
        <v>115</v>
      </c>
    </row>
    <row r="14" customFormat="false" ht="15" hidden="false" customHeight="true" outlineLevel="0" collapsed="false">
      <c r="A14" s="14" t="s">
        <v>116</v>
      </c>
      <c r="B14" s="23" t="n">
        <f aca="false">B8*1000</f>
        <v>7.69245319220152</v>
      </c>
      <c r="C14" s="23"/>
      <c r="D14" s="9" t="s">
        <v>117</v>
      </c>
    </row>
    <row r="16" customFormat="false" ht="15" hidden="false" customHeight="true" outlineLevel="0" collapsed="false">
      <c r="A16" s="3"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40"/>
    <col collapsed="false" customWidth="true" hidden="false" outlineLevel="0" max="3" min="3" style="1" width="70"/>
  </cols>
  <sheetData>
    <row r="1" customFormat="false" ht="17.25" hidden="false" customHeight="true" outlineLevel="0" collapsed="false">
      <c r="A1" s="2" t="s">
        <v>119</v>
      </c>
    </row>
    <row r="2" customFormat="false" ht="15" hidden="false" customHeight="true" outlineLevel="0" collapsed="false">
      <c r="A2" s="3" t="s">
        <v>120</v>
      </c>
    </row>
    <row r="4" customFormat="false" ht="15" hidden="false" customHeight="true" outlineLevel="0" collapsed="false">
      <c r="A4" s="6" t="s">
        <v>94</v>
      </c>
      <c r="B4" s="6" t="s">
        <v>40</v>
      </c>
      <c r="C4" s="6" t="s">
        <v>121</v>
      </c>
    </row>
    <row r="5" customFormat="false" ht="15" hidden="false" customHeight="true" outlineLevel="0" collapsed="false">
      <c r="A5" s="14" t="s">
        <v>122</v>
      </c>
      <c r="B5" s="7" t="s">
        <v>123</v>
      </c>
      <c r="C5" s="9" t="s">
        <v>124</v>
      </c>
    </row>
    <row r="6" customFormat="false" ht="15" hidden="false" customHeight="true" outlineLevel="0" collapsed="false">
      <c r="A6" s="14" t="s">
        <v>125</v>
      </c>
      <c r="B6" s="7" t="s">
        <v>126</v>
      </c>
      <c r="C6" s="9" t="s">
        <v>127</v>
      </c>
    </row>
    <row r="7" customFormat="false" ht="15" hidden="false" customHeight="true" outlineLevel="0" collapsed="false">
      <c r="A7" s="14" t="s">
        <v>128</v>
      </c>
      <c r="B7" s="24" t="n">
        <f aca="false">Summary!B7</f>
        <v>0.0255465596366837</v>
      </c>
      <c r="C7" s="9" t="s">
        <v>129</v>
      </c>
    </row>
    <row r="8" customFormat="false" ht="15" hidden="false" customHeight="true" outlineLevel="0" collapsed="false">
      <c r="A8" s="14" t="s">
        <v>130</v>
      </c>
      <c r="B8" s="24" t="n">
        <f aca="false">Summary!C7</f>
        <v>0.0178541064444822</v>
      </c>
      <c r="C8" s="9" t="s">
        <v>131</v>
      </c>
    </row>
    <row r="9" customFormat="false" ht="15" hidden="false" customHeight="true" outlineLevel="0" collapsed="false">
      <c r="A9" s="14" t="s">
        <v>132</v>
      </c>
      <c r="B9" s="18" t="n">
        <f aca="false">(Inputs!B5+Inputs!B7)/(Inputs!B4+Inputs!B6)</f>
        <v>0.025238862032202</v>
      </c>
      <c r="C9" s="9" t="s">
        <v>133</v>
      </c>
    </row>
    <row r="10" customFormat="false" ht="15" hidden="false" customHeight="true" outlineLevel="0" collapsed="false">
      <c r="A10" s="14" t="s">
        <v>134</v>
      </c>
      <c r="B10" s="25" t="n">
        <f aca="false">SQRT(B9*(1-B9)*(1/Inputs!B4+1/Inputs!B6))</f>
        <v>0.00104374106490065</v>
      </c>
      <c r="C10" s="9" t="s">
        <v>135</v>
      </c>
    </row>
    <row r="11" customFormat="false" ht="15" hidden="false" customHeight="true" outlineLevel="0" collapsed="false">
      <c r="A11" s="14" t="s">
        <v>136</v>
      </c>
      <c r="B11" s="26" t="n">
        <f aca="false">(B7-B8)/B10</f>
        <v>7.37007812654541</v>
      </c>
      <c r="C11" s="9" t="s">
        <v>137</v>
      </c>
    </row>
    <row r="12" customFormat="false" ht="15" hidden="false" customHeight="true" outlineLevel="0" collapsed="false">
      <c r="A12" s="14" t="s">
        <v>138</v>
      </c>
      <c r="B12" s="27" t="n">
        <f aca="false">2*NORMSDIST(-ABS(B11))</f>
        <v>1.70528071615597E-013</v>
      </c>
      <c r="C12" s="9" t="s">
        <v>139</v>
      </c>
    </row>
    <row r="13" customFormat="false" ht="15" hidden="false" customHeight="true" outlineLevel="0" collapsed="false">
      <c r="A13" s="14" t="s">
        <v>140</v>
      </c>
      <c r="B13" s="20" t="n">
        <f aca="false">NORMSINV(1-Inputs!B10/2)</f>
        <v>1.95996398454005</v>
      </c>
      <c r="C13" s="9" t="s">
        <v>141</v>
      </c>
    </row>
    <row r="14" customFormat="false" ht="15" hidden="false" customHeight="true" outlineLevel="0" collapsed="false">
      <c r="A14" s="14" t="s">
        <v>142</v>
      </c>
      <c r="B14" s="25" t="n">
        <f aca="false">SQRT(B7*(1-B7)/Inputs!B4+B8*(1-B8)/Inputs!B6)</f>
        <v>0.000888547327566938</v>
      </c>
      <c r="C14" s="9" t="s">
        <v>143</v>
      </c>
    </row>
    <row r="15" customFormat="false" ht="15" hidden="false" customHeight="true" outlineLevel="0" collapsed="false">
      <c r="A15" s="14" t="s">
        <v>144</v>
      </c>
      <c r="B15" s="18" t="n">
        <f aca="false">(B7-B8)-B13*B14</f>
        <v>0.00595093243161101</v>
      </c>
      <c r="C15" s="9" t="s">
        <v>145</v>
      </c>
    </row>
    <row r="16" customFormat="false" ht="15" hidden="false" customHeight="true" outlineLevel="0" collapsed="false">
      <c r="A16" s="14" t="s">
        <v>146</v>
      </c>
      <c r="B16" s="18" t="n">
        <f aca="false">(B7-B8)+B13*B14</f>
        <v>0.00943397395279203</v>
      </c>
      <c r="C16" s="9" t="s">
        <v>147</v>
      </c>
    </row>
    <row r="17" customFormat="false" ht="15" hidden="false" customHeight="true" outlineLevel="0" collapsed="false">
      <c r="A17" s="14" t="s">
        <v>148</v>
      </c>
      <c r="B17" s="20" t="n">
        <f aca="false">B7/B8</f>
        <v>1.43085064022226</v>
      </c>
      <c r="C17" s="9" t="s">
        <v>149</v>
      </c>
    </row>
    <row r="18" customFormat="false" ht="15" hidden="false" customHeight="true" outlineLevel="0" collapsed="false">
      <c r="A18" s="14" t="s">
        <v>150</v>
      </c>
      <c r="B18" s="25" t="n">
        <f aca="false">SQRT((1-B7)/Inputs!B5+(1-B8)/Inputs!B7)</f>
        <v>0.0490510455468106</v>
      </c>
      <c r="C18" s="9" t="s">
        <v>151</v>
      </c>
    </row>
    <row r="19" customFormat="false" ht="15" hidden="false" customHeight="true" outlineLevel="0" collapsed="false">
      <c r="A19" s="14" t="s">
        <v>152</v>
      </c>
      <c r="B19" s="22" t="n">
        <f aca="false">EXP(LN(B17)-B13*B18)-1</f>
        <v>0.299696581062822</v>
      </c>
      <c r="C19" s="9" t="s">
        <v>153</v>
      </c>
    </row>
    <row r="20" customFormat="false" ht="15" hidden="false" customHeight="true" outlineLevel="0" collapsed="false">
      <c r="A20" s="14" t="s">
        <v>154</v>
      </c>
      <c r="B20" s="22" t="n">
        <f aca="false">EXP(LN(B17)+B13*B18)-1</f>
        <v>0.575239624736296</v>
      </c>
      <c r="C20" s="9" t="s">
        <v>153</v>
      </c>
    </row>
    <row r="21" customFormat="false" ht="15" hidden="false" customHeight="true" outlineLevel="0" collapsed="false">
      <c r="A21" s="14" t="s">
        <v>155</v>
      </c>
      <c r="B21" s="7" t="str">
        <f aca="false">IF(B12&lt;Inputs!B10,"Statistically significant at "&amp;TEXT(Inputs!B10,"0%"),"Not statistically significant at "&amp;TEXT(Inputs!B10,"0%"))</f>
        <v>Statistically significant at 5%</v>
      </c>
      <c r="C21" s="9" t="s">
        <v>156</v>
      </c>
    </row>
    <row r="22" customFormat="false" ht="15" hidden="false" customHeight="true" outlineLevel="0" collapsed="false">
      <c r="A22" s="14" t="s">
        <v>157</v>
      </c>
      <c r="B22" s="18" t="n">
        <f aca="false">(B13+NORMSINV(Inputs!B12))*B10</f>
        <v>0.00292412953896316</v>
      </c>
      <c r="C22" s="9" t="s">
        <v>158</v>
      </c>
    </row>
    <row r="23" customFormat="false" ht="15" hidden="false" customHeight="true" outlineLevel="0" collapsed="false">
      <c r="A23" s="14" t="s">
        <v>159</v>
      </c>
      <c r="B23" s="22" t="n">
        <f aca="false">NORMSDIST(ABS(B7-B8)/B14-B13)</f>
        <v>0.99999999998939</v>
      </c>
      <c r="C23" s="9" t="s">
        <v>160</v>
      </c>
    </row>
    <row r="24" customFormat="false" ht="15" hidden="false" customHeight="true" outlineLevel="0" collapsed="false">
      <c r="A24" s="14" t="s">
        <v>161</v>
      </c>
      <c r="B24" s="7" t="s">
        <v>162</v>
      </c>
      <c r="C24" s="9"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7" min="2" style="1" width="16"/>
  </cols>
  <sheetData>
    <row r="1" customFormat="false" ht="17.25" hidden="false" customHeight="true" outlineLevel="0" collapsed="false">
      <c r="A1" s="2" t="s">
        <v>164</v>
      </c>
    </row>
    <row r="2" customFormat="false" ht="15" hidden="false" customHeight="true" outlineLevel="0" collapsed="false">
      <c r="A2" s="3" t="s">
        <v>165</v>
      </c>
    </row>
    <row r="3" customFormat="false" ht="42" hidden="false" customHeight="true" outlineLevel="0" collapsed="false">
      <c r="A3" s="28" t="s">
        <v>166</v>
      </c>
      <c r="B3" s="28"/>
      <c r="C3" s="28"/>
      <c r="D3" s="28"/>
      <c r="E3" s="28"/>
    </row>
    <row r="5" customFormat="false" ht="15" hidden="false" customHeight="true" outlineLevel="0" collapsed="false">
      <c r="A5" s="6" t="s">
        <v>167</v>
      </c>
      <c r="B5" s="6" t="s">
        <v>40</v>
      </c>
      <c r="C5" s="6" t="s">
        <v>168</v>
      </c>
    </row>
    <row r="6" customFormat="false" ht="15" hidden="false" customHeight="true" outlineLevel="0" collapsed="false">
      <c r="A6" s="14" t="s">
        <v>169</v>
      </c>
      <c r="B6" s="29" t="n">
        <v>5</v>
      </c>
      <c r="C6" s="9" t="s">
        <v>170</v>
      </c>
    </row>
    <row r="7" customFormat="false" ht="15" hidden="false" customHeight="true" outlineLevel="0" collapsed="false">
      <c r="A7" s="14" t="s">
        <v>171</v>
      </c>
      <c r="B7" s="29" t="n">
        <v>25</v>
      </c>
      <c r="C7" s="9" t="s">
        <v>170</v>
      </c>
    </row>
    <row r="9" customFormat="false" ht="15" hidden="false" customHeight="true" outlineLevel="0" collapsed="false">
      <c r="A9" s="6" t="s">
        <v>172</v>
      </c>
      <c r="B9" s="6" t="s">
        <v>173</v>
      </c>
      <c r="C9" s="6" t="s">
        <v>174</v>
      </c>
      <c r="D9" s="6" t="s">
        <v>175</v>
      </c>
    </row>
    <row r="10" customFormat="false" ht="15" hidden="false" customHeight="true" outlineLevel="0" collapsed="false">
      <c r="A10" s="14" t="s">
        <v>176</v>
      </c>
      <c r="B10" s="17" t="n">
        <f aca="false">Inputs!$B$8</f>
        <v>14014701</v>
      </c>
      <c r="C10" s="17" t="n">
        <f aca="false">Inputs!$B$8</f>
        <v>14014701</v>
      </c>
      <c r="D10" s="17" t="n">
        <f aca="false">Inputs!$B$8</f>
        <v>14014701</v>
      </c>
    </row>
    <row r="11" customFormat="false" ht="15" hidden="false" customHeight="true" outlineLevel="0" collapsed="false">
      <c r="A11" s="14" t="s">
        <v>177</v>
      </c>
      <c r="B11" s="30" t="n">
        <f aca="false">B10/1000*$B$6</f>
        <v>70073.505</v>
      </c>
      <c r="C11" s="30" t="n">
        <f aca="false">C10/1000*$B$6</f>
        <v>70073.505</v>
      </c>
      <c r="D11" s="30" t="n">
        <f aca="false">D10/1000*$B$6</f>
        <v>70073.505</v>
      </c>
    </row>
    <row r="12" customFormat="false" ht="15" hidden="false" customHeight="true" outlineLevel="0" collapsed="false">
      <c r="A12" s="14" t="s">
        <v>178</v>
      </c>
      <c r="B12" s="17" t="n">
        <f aca="false">Summary!B12</f>
        <v>4342.98214589356</v>
      </c>
      <c r="C12" s="17" t="n">
        <f aca="false">Statistical_Test!B15*Inputs!B4</f>
        <v>3359.75957944165</v>
      </c>
      <c r="D12" s="17" t="n">
        <f aca="false">Statistical_Test!B16*Inputs!B4</f>
        <v>5326.20471234547</v>
      </c>
    </row>
    <row r="13" customFormat="false" ht="15" hidden="false" customHeight="true" outlineLevel="0" collapsed="false">
      <c r="A13" s="14" t="s">
        <v>179</v>
      </c>
      <c r="B13" s="31" t="n">
        <f aca="false">IF(B12&gt;0,B11/B12,"n/a")</f>
        <v>16.1348821261577</v>
      </c>
      <c r="C13" s="31" t="n">
        <f aca="false">IF(C12&gt;0,C11/C12,"n/a")</f>
        <v>20.8567021964248</v>
      </c>
      <c r="D13" s="31" t="n">
        <f aca="false">IF(D12&gt;0,D11/D12,"n/a")</f>
        <v>13.1563672041329</v>
      </c>
    </row>
    <row r="14" customFormat="false" ht="15" hidden="false" customHeight="true" outlineLevel="0" collapsed="false">
      <c r="A14" s="32" t="s">
        <v>180</v>
      </c>
      <c r="B14" s="33" t="n">
        <f aca="false">B13</f>
        <v>16.1348821261577</v>
      </c>
      <c r="C14" s="33" t="n">
        <f aca="false">C13</f>
        <v>20.8567021964248</v>
      </c>
      <c r="D14" s="33" t="n">
        <f aca="false">D13</f>
        <v>13.1563672041329</v>
      </c>
    </row>
    <row r="15" customFormat="false" ht="15" hidden="false" customHeight="true" outlineLevel="0" collapsed="false">
      <c r="A15" s="14" t="s">
        <v>181</v>
      </c>
      <c r="B15" s="30" t="n">
        <f aca="false">B12*$B$7</f>
        <v>108574.553647339</v>
      </c>
      <c r="C15" s="30" t="n">
        <f aca="false">C12*$B$7</f>
        <v>83993.9894860412</v>
      </c>
      <c r="D15" s="30" t="n">
        <f aca="false">D12*$B$7</f>
        <v>133155.117808637</v>
      </c>
    </row>
    <row r="16" customFormat="false" ht="15" hidden="false" customHeight="true" outlineLevel="0" collapsed="false">
      <c r="A16" s="14" t="s">
        <v>182</v>
      </c>
      <c r="B16" s="34" t="n">
        <f aca="false">B15-B11</f>
        <v>38501.0486473389</v>
      </c>
      <c r="C16" s="34" t="n">
        <f aca="false">C15-C11</f>
        <v>13920.4844860412</v>
      </c>
      <c r="D16" s="34" t="n">
        <f aca="false">D15-D11</f>
        <v>63081.6128086366</v>
      </c>
    </row>
    <row r="17" customFormat="false" ht="15" hidden="false" customHeight="true" outlineLevel="0" collapsed="false">
      <c r="A17" s="14" t="s">
        <v>183</v>
      </c>
      <c r="B17" s="35" t="n">
        <f aca="false">B16/B11</f>
        <v>0.549438031497624</v>
      </c>
      <c r="C17" s="35" t="n">
        <f aca="false">C16/C11</f>
        <v>0.198655461661882</v>
      </c>
      <c r="D17" s="35" t="n">
        <f aca="false">D16/D11</f>
        <v>0.900220601333366</v>
      </c>
    </row>
    <row r="18" customFormat="false" ht="30" hidden="false" customHeight="true" outlineLevel="0" collapsed="false">
      <c r="A18" s="36" t="s">
        <v>184</v>
      </c>
      <c r="B18" s="36"/>
      <c r="C18" s="36"/>
      <c r="D18" s="36"/>
      <c r="E18" s="36"/>
    </row>
    <row r="20" customFormat="false" ht="15" hidden="false" customHeight="true" outlineLevel="0" collapsed="false">
      <c r="A20" s="16" t="s">
        <v>185</v>
      </c>
    </row>
    <row r="21" customFormat="false" ht="15" hidden="false" customHeight="true" outlineLevel="0" collapsed="false">
      <c r="A21" s="6" t="s">
        <v>186</v>
      </c>
      <c r="B21" s="37" t="n">
        <v>5</v>
      </c>
      <c r="C21" s="37" t="n">
        <v>10</v>
      </c>
      <c r="D21" s="37" t="n">
        <v>25</v>
      </c>
      <c r="E21" s="37" t="n">
        <v>50</v>
      </c>
      <c r="F21" s="37" t="n">
        <v>100</v>
      </c>
      <c r="G21" s="37" t="n">
        <v>250</v>
      </c>
    </row>
    <row r="22" customFormat="false" ht="15" hidden="false" customHeight="true" outlineLevel="0" collapsed="false">
      <c r="A22" s="37" t="n">
        <v>1</v>
      </c>
      <c r="B22" s="34" t="n">
        <f aca="false">Summary!$B$12*B$21-Inputs!$B$8/1000*$A22</f>
        <v>7700.20972946778</v>
      </c>
      <c r="C22" s="34" t="n">
        <f aca="false">Summary!$B$12*C$21-Inputs!$B$8/1000*$A22</f>
        <v>29415.1204589356</v>
      </c>
      <c r="D22" s="34" t="n">
        <f aca="false">Summary!$B$12*D$21-Inputs!$B$8/1000*$A22</f>
        <v>94559.8526473389</v>
      </c>
      <c r="E22" s="34" t="n">
        <f aca="false">Summary!$B$12*E$21-Inputs!$B$8/1000*$A22</f>
        <v>203134.406294678</v>
      </c>
      <c r="F22" s="34" t="n">
        <f aca="false">Summary!$B$12*F$21-Inputs!$B$8/1000*$A22</f>
        <v>420283.513589356</v>
      </c>
      <c r="G22" s="34" t="n">
        <f aca="false">Summary!$B$12*G$21-Inputs!$B$8/1000*$A22</f>
        <v>1071730.83547339</v>
      </c>
    </row>
    <row r="23" customFormat="false" ht="15" hidden="false" customHeight="true" outlineLevel="0" collapsed="false">
      <c r="A23" s="37" t="n">
        <v>2</v>
      </c>
      <c r="B23" s="34" t="n">
        <f aca="false">Summary!$B$12*B$21-Inputs!$B$8/1000*$A23</f>
        <v>-6314.49127053222</v>
      </c>
      <c r="C23" s="34" t="n">
        <f aca="false">Summary!$B$12*C$21-Inputs!$B$8/1000*$A23</f>
        <v>15400.4194589356</v>
      </c>
      <c r="D23" s="34" t="n">
        <f aca="false">Summary!$B$12*D$21-Inputs!$B$8/1000*$A23</f>
        <v>80545.1516473389</v>
      </c>
      <c r="E23" s="34" t="n">
        <f aca="false">Summary!$B$12*E$21-Inputs!$B$8/1000*$A23</f>
        <v>189119.705294678</v>
      </c>
      <c r="F23" s="34" t="n">
        <f aca="false">Summary!$B$12*F$21-Inputs!$B$8/1000*$A23</f>
        <v>406268.812589356</v>
      </c>
      <c r="G23" s="34" t="n">
        <f aca="false">Summary!$B$12*G$21-Inputs!$B$8/1000*$A23</f>
        <v>1057716.13447339</v>
      </c>
    </row>
    <row r="24" customFormat="false" ht="15" hidden="false" customHeight="true" outlineLevel="0" collapsed="false">
      <c r="A24" s="37" t="n">
        <v>5</v>
      </c>
      <c r="B24" s="34" t="n">
        <f aca="false">Summary!$B$12*B$21-Inputs!$B$8/1000*$A24</f>
        <v>-48358.5942705322</v>
      </c>
      <c r="C24" s="34" t="n">
        <f aca="false">Summary!$B$12*C$21-Inputs!$B$8/1000*$A24</f>
        <v>-26643.6835410644</v>
      </c>
      <c r="D24" s="34" t="n">
        <f aca="false">Summary!$B$12*D$21-Inputs!$B$8/1000*$A24</f>
        <v>38501.0486473389</v>
      </c>
      <c r="E24" s="34" t="n">
        <f aca="false">Summary!$B$12*E$21-Inputs!$B$8/1000*$A24</f>
        <v>147075.602294678</v>
      </c>
      <c r="F24" s="34" t="n">
        <f aca="false">Summary!$B$12*F$21-Inputs!$B$8/1000*$A24</f>
        <v>364224.709589356</v>
      </c>
      <c r="G24" s="34" t="n">
        <f aca="false">Summary!$B$12*G$21-Inputs!$B$8/1000*$A24</f>
        <v>1015672.03147339</v>
      </c>
    </row>
    <row r="25" customFormat="false" ht="15" hidden="false" customHeight="true" outlineLevel="0" collapsed="false">
      <c r="A25" s="37" t="n">
        <v>10</v>
      </c>
      <c r="B25" s="34" t="n">
        <f aca="false">Summary!$B$12*B$21-Inputs!$B$8/1000*$A25</f>
        <v>-118432.099270532</v>
      </c>
      <c r="C25" s="34" t="n">
        <f aca="false">Summary!$B$12*C$21-Inputs!$B$8/1000*$A25</f>
        <v>-96717.1885410644</v>
      </c>
      <c r="D25" s="34" t="n">
        <f aca="false">Summary!$B$12*D$21-Inputs!$B$8/1000*$A25</f>
        <v>-31572.4563526611</v>
      </c>
      <c r="E25" s="34" t="n">
        <f aca="false">Summary!$B$12*E$21-Inputs!$B$8/1000*$A25</f>
        <v>77002.0972946778</v>
      </c>
      <c r="F25" s="34" t="n">
        <f aca="false">Summary!$B$12*F$21-Inputs!$B$8/1000*$A25</f>
        <v>294151.204589356</v>
      </c>
      <c r="G25" s="34" t="n">
        <f aca="false">Summary!$B$12*G$21-Inputs!$B$8/1000*$A25</f>
        <v>945598.526473389</v>
      </c>
    </row>
    <row r="26" customFormat="false" ht="15" hidden="false" customHeight="true" outlineLevel="0" collapsed="false">
      <c r="A26" s="37" t="n">
        <v>20</v>
      </c>
      <c r="B26" s="34" t="n">
        <f aca="false">Summary!$B$12*B$21-Inputs!$B$8/1000*$A26</f>
        <v>-258579.109270532</v>
      </c>
      <c r="C26" s="34" t="n">
        <f aca="false">Summary!$B$12*C$21-Inputs!$B$8/1000*$A26</f>
        <v>-236864.198541064</v>
      </c>
      <c r="D26" s="34" t="n">
        <f aca="false">Summary!$B$12*D$21-Inputs!$B$8/1000*$A26</f>
        <v>-171719.466352661</v>
      </c>
      <c r="E26" s="34" t="n">
        <f aca="false">Summary!$B$12*E$21-Inputs!$B$8/1000*$A26</f>
        <v>-63144.9127053222</v>
      </c>
      <c r="F26" s="34" t="n">
        <f aca="false">Summary!$B$12*F$21-Inputs!$B$8/1000*$A26</f>
        <v>154004.194589356</v>
      </c>
      <c r="G26" s="34" t="n">
        <f aca="false">Summary!$B$12*G$21-Inputs!$B$8/1000*$A26</f>
        <v>805451.516473389</v>
      </c>
    </row>
    <row r="27" customFormat="false" ht="15" hidden="false" customHeight="true" outlineLevel="0" collapsed="false">
      <c r="A27" s="37" t="n">
        <v>40</v>
      </c>
      <c r="B27" s="34" t="n">
        <f aca="false">Summary!$B$12*B$21-Inputs!$B$8/1000*$A27</f>
        <v>-538873.129270532</v>
      </c>
      <c r="C27" s="34" t="n">
        <f aca="false">Summary!$B$12*C$21-Inputs!$B$8/1000*$A27</f>
        <v>-517158.218541064</v>
      </c>
      <c r="D27" s="34" t="n">
        <f aca="false">Summary!$B$12*D$21-Inputs!$B$8/1000*$A27</f>
        <v>-452013.486352661</v>
      </c>
      <c r="E27" s="34" t="n">
        <f aca="false">Summary!$B$12*E$21-Inputs!$B$8/1000*$A27</f>
        <v>-343438.932705322</v>
      </c>
      <c r="F27" s="34" t="n">
        <f aca="false">Summary!$B$12*F$21-Inputs!$B$8/1000*$A27</f>
        <v>-126289.825410644</v>
      </c>
      <c r="G27" s="34" t="n">
        <f aca="false">Summary!$B$12*G$21-Inputs!$B$8/1000*$A27</f>
        <v>525157.496473389</v>
      </c>
    </row>
    <row r="29" customFormat="false" ht="15" hidden="false" customHeight="true" outlineLevel="0" collapsed="false">
      <c r="A29" s="3" t="s">
        <v>187</v>
      </c>
    </row>
  </sheetData>
  <mergeCells count="2">
    <mergeCell ref="A3:E3"/>
    <mergeCell ref="A18:E18"/>
  </mergeCells>
  <conditionalFormatting sqref="B22:G27">
    <cfRule type="cellIs" priority="2" operator="greaterThan" aboveAverage="0" equalAverage="0" bottom="0" percent="0" rank="0" text="" dxfId="2">
      <formula>0</formula>
    </cfRule>
    <cfRule type="cellIs" priority="3" operator="less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7" min="6" style="1" width="11"/>
    <col collapsed="false" customWidth="true" hidden="false" outlineLevel="0" max="8" min="8" style="1" width="12"/>
    <col collapsed="false" customWidth="true" hidden="false" outlineLevel="0" max="9" min="9" style="1" width="13"/>
    <col collapsed="false" customWidth="true" hidden="false" outlineLevel="0" max="11" min="10" style="1" width="11"/>
    <col collapsed="false" customWidth="true" hidden="false" outlineLevel="0" max="12" min="12" style="1" width="8"/>
    <col collapsed="false" customWidth="true" hidden="false" outlineLevel="0" max="13" min="13" style="1" width="10"/>
    <col collapsed="false" customWidth="true" hidden="false" outlineLevel="0" max="14" min="14" style="1" width="14"/>
    <col collapsed="false" customWidth="true" hidden="false" outlineLevel="0" max="15" min="15" style="1" width="16"/>
    <col collapsed="false" customWidth="true" hidden="false" outlineLevel="0" max="17" min="16" style="1" width="14"/>
  </cols>
  <sheetData>
    <row r="1" customFormat="false" ht="17.25" hidden="false" customHeight="true" outlineLevel="0" collapsed="false">
      <c r="A1" s="2" t="s">
        <v>188</v>
      </c>
    </row>
    <row r="2" customFormat="false" ht="15" hidden="false" customHeight="true" outlineLevel="0" collapsed="false">
      <c r="A2" s="3" t="s">
        <v>189</v>
      </c>
    </row>
    <row r="5" customFormat="false" ht="31.5" hidden="false" customHeight="true" outlineLevel="0" collapsed="false">
      <c r="A5" s="6" t="s">
        <v>190</v>
      </c>
      <c r="B5" s="6" t="s">
        <v>191</v>
      </c>
      <c r="C5" s="6" t="s">
        <v>192</v>
      </c>
      <c r="D5" s="6" t="s">
        <v>193</v>
      </c>
      <c r="E5" s="6" t="s">
        <v>194</v>
      </c>
      <c r="F5" s="6" t="s">
        <v>195</v>
      </c>
      <c r="G5" s="6" t="s">
        <v>196</v>
      </c>
      <c r="H5" s="6" t="s">
        <v>197</v>
      </c>
      <c r="I5" s="6" t="s">
        <v>198</v>
      </c>
      <c r="J5" s="6" t="s">
        <v>174</v>
      </c>
      <c r="K5" s="6" t="s">
        <v>175</v>
      </c>
      <c r="L5" s="6" t="s">
        <v>199</v>
      </c>
      <c r="M5" s="6" t="s">
        <v>200</v>
      </c>
      <c r="N5" s="6" t="s">
        <v>201</v>
      </c>
      <c r="O5" s="6" t="s">
        <v>202</v>
      </c>
      <c r="P5" s="6" t="s">
        <v>203</v>
      </c>
      <c r="Q5" s="6" t="s">
        <v>204</v>
      </c>
    </row>
    <row r="6" customFormat="false" ht="15" hidden="false" customHeight="true" outlineLevel="0" collapsed="false">
      <c r="A6" s="14" t="s">
        <v>205</v>
      </c>
      <c r="B6" s="8" t="n">
        <v>83571</v>
      </c>
      <c r="C6" s="8" t="n">
        <v>2778</v>
      </c>
      <c r="D6" s="8" t="n">
        <v>3502</v>
      </c>
      <c r="E6" s="8" t="n">
        <v>79</v>
      </c>
      <c r="F6" s="38" t="n">
        <f aca="false">C6/B6</f>
        <v>0.033241196108698</v>
      </c>
      <c r="G6" s="38" t="n">
        <f aca="false">E6/D6</f>
        <v>0.0225585379782981</v>
      </c>
      <c r="H6" s="38" t="n">
        <f aca="false">F6-G6</f>
        <v>0.0106826581303999</v>
      </c>
      <c r="I6" s="18" t="n">
        <f aca="false">SQRT(F6*(1-F6)/B6+G6*(1-G6)/D6)</f>
        <v>0.00258473212086237</v>
      </c>
      <c r="J6" s="38" t="n">
        <f aca="false">H6-Statistical_Test!$B$13*I6</f>
        <v>0.00561667626382581</v>
      </c>
      <c r="K6" s="38" t="n">
        <f aca="false">H6+Statistical_Test!$B$13*I6</f>
        <v>0.015748639996974</v>
      </c>
      <c r="L6" s="39" t="n">
        <f aca="false">H6/SQRT(((C6+E6)/(B6+D6))*(1-(C6+E6)/(B6+D6))*(1/B6+1/D6))</f>
        <v>3.47659842661625</v>
      </c>
      <c r="M6" s="20" t="n">
        <f aca="false">2*NORMSDIST(-ABS(L6))</f>
        <v>0.000507817794458511</v>
      </c>
      <c r="N6" s="20" t="n">
        <f aca="false">MIN(1,M6*COUNT($M$6:$M$12))</f>
        <v>0.00355472456120957</v>
      </c>
      <c r="O6" s="15" t="str">
        <f aca="false">IF(N6&lt;Inputs!$B$10,"Yes","No")</f>
        <v>Yes</v>
      </c>
      <c r="P6" s="21" t="n">
        <f aca="false">H6*B6</f>
        <v>892.760422615648</v>
      </c>
      <c r="Q6" s="22" t="n">
        <f aca="false">P6/$P$13</f>
        <v>0.203166492225038</v>
      </c>
    </row>
    <row r="7" customFormat="false" ht="15" hidden="false" customHeight="true" outlineLevel="0" collapsed="false">
      <c r="A7" s="14" t="s">
        <v>206</v>
      </c>
      <c r="B7" s="8" t="n">
        <v>74572</v>
      </c>
      <c r="C7" s="8" t="n">
        <v>2270</v>
      </c>
      <c r="D7" s="8" t="n">
        <v>2907</v>
      </c>
      <c r="E7" s="8" t="n">
        <v>42</v>
      </c>
      <c r="F7" s="38" t="n">
        <f aca="false">C7/B7</f>
        <v>0.0304403797672049</v>
      </c>
      <c r="G7" s="38" t="n">
        <f aca="false">E7/D7</f>
        <v>0.0144478844169247</v>
      </c>
      <c r="H7" s="38" t="n">
        <f aca="false">F7-G7</f>
        <v>0.0159924953502802</v>
      </c>
      <c r="I7" s="18" t="n">
        <f aca="false">SQRT(F7*(1-F7)/B7+G7*(1-G7)/D7)</f>
        <v>0.00230086971018695</v>
      </c>
      <c r="J7" s="38" t="n">
        <f aca="false">H7-Statistical_Test!$B$13*I7</f>
        <v>0.0114828735851946</v>
      </c>
      <c r="K7" s="38" t="n">
        <f aca="false">H7+Statistical_Test!$B$13*I7</f>
        <v>0.0205021171153657</v>
      </c>
      <c r="L7" s="39" t="n">
        <f aca="false">H7/SQRT(((C7+E7)/(B7+D7))*(1-(C7+E7)/(B7+D7))*(1/B7+1/D7))</f>
        <v>4.97177108534534</v>
      </c>
      <c r="M7" s="20" t="n">
        <f aca="false">2*NORMSDIST(-ABS(L7))</f>
        <v>6.63440141684415E-007</v>
      </c>
      <c r="N7" s="20" t="n">
        <f aca="false">MIN(1,M7*COUNT($M$6:$M$12))</f>
        <v>4.64408099179091E-006</v>
      </c>
      <c r="O7" s="15" t="str">
        <f aca="false">IF(N7&lt;Inputs!$B$10,"Yes","No")</f>
        <v>Yes</v>
      </c>
      <c r="P7" s="21" t="n">
        <f aca="false">H7*B7</f>
        <v>1192.59236326109</v>
      </c>
      <c r="Q7" s="22" t="n">
        <f aca="false">P7/$P$13</f>
        <v>0.271399583763177</v>
      </c>
    </row>
    <row r="8" customFormat="false" ht="15" hidden="false" customHeight="true" outlineLevel="0" collapsed="false">
      <c r="A8" s="14" t="s">
        <v>207</v>
      </c>
      <c r="B8" s="8" t="n">
        <v>77418</v>
      </c>
      <c r="C8" s="8" t="n">
        <v>1963</v>
      </c>
      <c r="D8" s="8" t="n">
        <v>3490</v>
      </c>
      <c r="E8" s="8" t="n">
        <v>55</v>
      </c>
      <c r="F8" s="38" t="n">
        <f aca="false">C8/B8</f>
        <v>0.0253558603942236</v>
      </c>
      <c r="G8" s="38" t="n">
        <f aca="false">E8/D8</f>
        <v>0.0157593123209169</v>
      </c>
      <c r="H8" s="38" t="n">
        <f aca="false">F8-G8</f>
        <v>0.00959654807330666</v>
      </c>
      <c r="I8" s="18" t="n">
        <f aca="false">SQRT(F8*(1-F8)/B8+G8*(1-G8)/D8)</f>
        <v>0.00218257062144825</v>
      </c>
      <c r="J8" s="38" t="n">
        <f aca="false">H8-Statistical_Test!$B$13*I8</f>
        <v>0.0053187882615529</v>
      </c>
      <c r="K8" s="38" t="n">
        <f aca="false">H8+Statistical_Test!$B$13*I8</f>
        <v>0.0138743078850604</v>
      </c>
      <c r="L8" s="39" t="n">
        <f aca="false">H8/SQRT(((C8+E8)/(B8+D8))*(1-(C8+E8)/(B8+D8))*(1/B8+1/D8))</f>
        <v>3.55609131481903</v>
      </c>
      <c r="M8" s="20" t="n">
        <f aca="false">2*NORMSDIST(-ABS(L8))</f>
        <v>0.000376413291962176</v>
      </c>
      <c r="N8" s="20" t="n">
        <f aca="false">MIN(1,M8*COUNT($M$6:$M$12))</f>
        <v>0.00263489304373523</v>
      </c>
      <c r="O8" s="15" t="str">
        <f aca="false">IF(N8&lt;Inputs!$B$10,"Yes","No")</f>
        <v>Yes</v>
      </c>
      <c r="P8" s="21" t="n">
        <f aca="false">H8*B8</f>
        <v>742.945558739255</v>
      </c>
      <c r="Q8" s="22" t="n">
        <f aca="false">P8/$P$13</f>
        <v>0.169072955363534</v>
      </c>
    </row>
    <row r="9" customFormat="false" ht="15" hidden="false" customHeight="true" outlineLevel="0" collapsed="false">
      <c r="A9" s="14" t="s">
        <v>208</v>
      </c>
      <c r="B9" s="8" t="n">
        <v>79077</v>
      </c>
      <c r="C9" s="8" t="n">
        <v>1711</v>
      </c>
      <c r="D9" s="8" t="n">
        <v>3905</v>
      </c>
      <c r="E9" s="8" t="n">
        <v>79</v>
      </c>
      <c r="F9" s="38" t="n">
        <f aca="false">C9/B9</f>
        <v>0.0216371384852738</v>
      </c>
      <c r="G9" s="38" t="n">
        <f aca="false">E9/D9</f>
        <v>0.0202304737516005</v>
      </c>
      <c r="H9" s="38" t="n">
        <f aca="false">F9-G9</f>
        <v>0.00140666473367333</v>
      </c>
      <c r="I9" s="18" t="n">
        <f aca="false">SQRT(F9*(1-F9)/B9+G9*(1-G9)/D9)</f>
        <v>0.00231161256703571</v>
      </c>
      <c r="J9" s="38" t="n">
        <f aca="false">H9-Statistical_Test!$B$13*I9</f>
        <v>-0.00312401264392685</v>
      </c>
      <c r="K9" s="38" t="n">
        <f aca="false">H9+Statistical_Test!$B$13*I9</f>
        <v>0.00593734211127351</v>
      </c>
      <c r="L9" s="39" t="n">
        <f aca="false">H9/SQRT(((C9+E9)/(B9+D9))*(1-(C9+E9)/(B9+D9))*(1/B9+1/D9))</f>
        <v>0.590656550355111</v>
      </c>
      <c r="M9" s="20" t="n">
        <f aca="false">2*NORMSDIST(-ABS(L9))</f>
        <v>0.554750566090123</v>
      </c>
      <c r="N9" s="20" t="n">
        <f aca="false">MIN(1,M9*COUNT($M$6:$M$12))</f>
        <v>1</v>
      </c>
      <c r="O9" s="15" t="str">
        <f aca="false">IF(N9&lt;Inputs!$B$10,"Yes","No")</f>
        <v>No</v>
      </c>
      <c r="P9" s="21" t="n">
        <f aca="false">H9*B9</f>
        <v>111.234827144686</v>
      </c>
      <c r="Q9" s="22" t="n">
        <f aca="false">P9/$P$13</f>
        <v>0.025313834564969</v>
      </c>
    </row>
    <row r="10" customFormat="false" ht="15" hidden="false" customHeight="true" outlineLevel="0" collapsed="false">
      <c r="A10" s="14" t="s">
        <v>209</v>
      </c>
      <c r="B10" s="8" t="n">
        <v>88805</v>
      </c>
      <c r="C10" s="8" t="n">
        <v>1995</v>
      </c>
      <c r="D10" s="8" t="n">
        <v>3803</v>
      </c>
      <c r="E10" s="8" t="n">
        <v>62</v>
      </c>
      <c r="F10" s="38" t="n">
        <f aca="false">C10/B10</f>
        <v>0.0224649512977873</v>
      </c>
      <c r="G10" s="38" t="n">
        <f aca="false">E10/D10</f>
        <v>0.0163029187483566</v>
      </c>
      <c r="H10" s="38" t="n">
        <f aca="false">F10-G10</f>
        <v>0.00616203254943073</v>
      </c>
      <c r="I10" s="18" t="n">
        <f aca="false">SQRT(F10*(1-F10)/B10+G10*(1-G10)/D10)</f>
        <v>0.00211287851578458</v>
      </c>
      <c r="J10" s="38" t="n">
        <f aca="false">H10-Statistical_Test!$B$13*I10</f>
        <v>0.0020208667547845</v>
      </c>
      <c r="K10" s="38" t="n">
        <f aca="false">H10+Statistical_Test!$B$13*I10</f>
        <v>0.010303198344077</v>
      </c>
      <c r="L10" s="39" t="n">
        <f aca="false">H10/SQRT(((C10+E10)/(B10+D10))*(1-(C10+E10)/(B10+D10))*(1/B10+1/D10))</f>
        <v>2.52502883132673</v>
      </c>
      <c r="M10" s="20" t="n">
        <f aca="false">2*NORMSDIST(-ABS(L10))</f>
        <v>0.011568879769484</v>
      </c>
      <c r="N10" s="20" t="n">
        <f aca="false">MIN(1,M10*COUNT($M$6:$M$12))</f>
        <v>0.0809821583863883</v>
      </c>
      <c r="O10" s="15" t="str">
        <f aca="false">IF(N10&lt;Inputs!$B$10,"Yes","No")</f>
        <v>No</v>
      </c>
      <c r="P10" s="21" t="n">
        <f aca="false">H10*B10</f>
        <v>547.219300552196</v>
      </c>
      <c r="Q10" s="22" t="n">
        <f aca="false">P10/$P$13</f>
        <v>0.124531310925834</v>
      </c>
    </row>
    <row r="11" customFormat="false" ht="15" hidden="false" customHeight="true" outlineLevel="0" collapsed="false">
      <c r="A11" s="14" t="s">
        <v>210</v>
      </c>
      <c r="B11" s="8" t="n">
        <v>78802</v>
      </c>
      <c r="C11" s="8" t="n">
        <v>1679</v>
      </c>
      <c r="D11" s="8" t="n">
        <v>2858</v>
      </c>
      <c r="E11" s="8" t="n">
        <v>40</v>
      </c>
      <c r="F11" s="38" t="n">
        <f aca="false">C11/B11</f>
        <v>0.0213065658232025</v>
      </c>
      <c r="G11" s="38" t="n">
        <f aca="false">E11/D11</f>
        <v>0.0139958012596221</v>
      </c>
      <c r="H11" s="38" t="n">
        <f aca="false">F11-G11</f>
        <v>0.00731076456358034</v>
      </c>
      <c r="I11" s="18" t="n">
        <f aca="false">SQRT(F11*(1-F11)/B11+G11*(1-G11)/D11)</f>
        <v>0.00225679931827245</v>
      </c>
      <c r="J11" s="38" t="n">
        <f aca="false">H11-Statistical_Test!$B$13*I11</f>
        <v>0.00288751917943179</v>
      </c>
      <c r="K11" s="38" t="n">
        <f aca="false">H11+Statistical_Test!$B$13*I11</f>
        <v>0.0117340099477289</v>
      </c>
      <c r="L11" s="39" t="n">
        <f aca="false">H11/SQRT(((C11+E11)/(B11+D11))*(1-(C11+E11)/(B11+D11))*(1/B11+1/D11))</f>
        <v>2.67451163438145</v>
      </c>
      <c r="M11" s="20" t="n">
        <f aca="false">2*NORMSDIST(-ABS(L11))</f>
        <v>0.00748381794598267</v>
      </c>
      <c r="N11" s="20" t="n">
        <f aca="false">MIN(1,M11*COUNT($M$6:$M$12))</f>
        <v>0.0523867256218787</v>
      </c>
      <c r="O11" s="15" t="str">
        <f aca="false">IF(N11&lt;Inputs!$B$10,"Yes","No")</f>
        <v>No</v>
      </c>
      <c r="P11" s="21" t="n">
        <f aca="false">H11*B11</f>
        <v>576.102869139258</v>
      </c>
      <c r="Q11" s="22" t="n">
        <f aca="false">P11/$P$13</f>
        <v>0.131104377074513</v>
      </c>
    </row>
    <row r="12" customFormat="false" ht="15" hidden="false" customHeight="true" outlineLevel="0" collapsed="false">
      <c r="A12" s="14" t="s">
        <v>211</v>
      </c>
      <c r="B12" s="8" t="n">
        <v>82332</v>
      </c>
      <c r="C12" s="8" t="n">
        <v>2027</v>
      </c>
      <c r="D12" s="8" t="n">
        <v>3059</v>
      </c>
      <c r="E12" s="8" t="n">
        <v>63</v>
      </c>
      <c r="F12" s="38" t="n">
        <f aca="false">C12/B12</f>
        <v>0.0246198319001117</v>
      </c>
      <c r="G12" s="38" t="n">
        <f aca="false">E12/D12</f>
        <v>0.0205949656750572</v>
      </c>
      <c r="H12" s="38" t="n">
        <f aca="false">F12-G12</f>
        <v>0.00402486622505454</v>
      </c>
      <c r="I12" s="18" t="n">
        <f aca="false">SQRT(F12*(1-F12)/B12+G12*(1-G12)/D12)</f>
        <v>0.00262404132909033</v>
      </c>
      <c r="J12" s="38" t="n">
        <f aca="false">H12-Statistical_Test!$B$13*I12</f>
        <v>-0.00111816027390712</v>
      </c>
      <c r="K12" s="38" t="n">
        <f aca="false">H12+Statistical_Test!$B$13*I12</f>
        <v>0.00916789272401619</v>
      </c>
      <c r="L12" s="39" t="n">
        <f aca="false">H12/SQRT(((C12+E12)/(B12+D12))*(1-(C12+E12)/(B12+D12))*(1/B12+1/D12))</f>
        <v>1.41459891500393</v>
      </c>
      <c r="M12" s="20" t="n">
        <f aca="false">2*NORMSDIST(-ABS(L12))</f>
        <v>0.157186127111796</v>
      </c>
      <c r="N12" s="20" t="n">
        <f aca="false">MIN(1,M12*COUNT($M$6:$M$12))</f>
        <v>1</v>
      </c>
      <c r="O12" s="15" t="str">
        <f aca="false">IF(N12&lt;Inputs!$B$10,"Yes","No")</f>
        <v>No</v>
      </c>
      <c r="P12" s="21" t="n">
        <f aca="false">H12*B12</f>
        <v>331.37528604119</v>
      </c>
      <c r="Q12" s="22" t="n">
        <f aca="false">P12/$P$13</f>
        <v>0.075411446082934</v>
      </c>
    </row>
    <row r="13" customFormat="false" ht="15" hidden="false" customHeight="true" outlineLevel="0" collapsed="false">
      <c r="A13" s="32" t="s">
        <v>212</v>
      </c>
      <c r="B13" s="40" t="n">
        <f aca="false">SUM(B6:B12)</f>
        <v>564577</v>
      </c>
      <c r="C13" s="40" t="n">
        <f aca="false">SUM(C6:C12)</f>
        <v>14423</v>
      </c>
      <c r="D13" s="40" t="n">
        <f aca="false">SUM(D6:D12)</f>
        <v>23524</v>
      </c>
      <c r="E13" s="40" t="n">
        <f aca="false">SUM(E6:E12)</f>
        <v>420</v>
      </c>
      <c r="F13" s="41" t="n">
        <f aca="false">C13/B13</f>
        <v>0.0255465596366837</v>
      </c>
      <c r="G13" s="41" t="n">
        <f aca="false">E13/D13</f>
        <v>0.0178541064444822</v>
      </c>
      <c r="H13" s="41" t="n">
        <f aca="false">F13-G13</f>
        <v>0.00769245319220152</v>
      </c>
      <c r="I13" s="42" t="n">
        <f aca="false">SQRT(F13*(1-F13)/B13+G13*(1-G13)/D13)</f>
        <v>0.000888547327566938</v>
      </c>
      <c r="J13" s="41" t="n">
        <f aca="false">H13-Statistical_Test!$B$13*I13</f>
        <v>0.00595093243161101</v>
      </c>
      <c r="K13" s="41" t="n">
        <f aca="false">H13+Statistical_Test!$B$13*I13</f>
        <v>0.00943397395279203</v>
      </c>
      <c r="L13" s="32"/>
      <c r="M13" s="32"/>
      <c r="N13" s="32"/>
      <c r="O13" s="32"/>
      <c r="P13" s="40" t="n">
        <f aca="false">SUM(P6:P12)</f>
        <v>4394.23062749333</v>
      </c>
      <c r="Q13" s="43" t="n">
        <f aca="false">SUM(Q6:Q12)</f>
        <v>1</v>
      </c>
    </row>
    <row r="15" customFormat="false" ht="30" hidden="false" customHeight="true" outlineLevel="0" collapsed="false">
      <c r="A15" s="36" t="s">
        <v>213</v>
      </c>
      <c r="B15" s="36"/>
      <c r="C15" s="36"/>
      <c r="D15" s="36"/>
      <c r="E15" s="36"/>
      <c r="F15" s="36"/>
      <c r="G15" s="36"/>
      <c r="H15" s="36"/>
      <c r="I15" s="36"/>
      <c r="J15" s="36"/>
      <c r="K15" s="36"/>
      <c r="L15" s="36"/>
      <c r="M15" s="36"/>
      <c r="N15" s="36"/>
      <c r="O15" s="36"/>
      <c r="P15" s="36"/>
      <c r="Q15" s="36"/>
    </row>
  </sheetData>
  <mergeCells count="1">
    <mergeCell ref="A15:Q15"/>
  </mergeCells>
  <conditionalFormatting sqref="O6:O12">
    <cfRule type="cellIs" priority="2" operator="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7" min="6" style="1" width="11"/>
    <col collapsed="false" customWidth="true" hidden="false" outlineLevel="0" max="8" min="8" style="1" width="12"/>
    <col collapsed="false" customWidth="true" hidden="false" outlineLevel="0" max="9" min="9" style="1" width="13"/>
    <col collapsed="false" customWidth="true" hidden="false" outlineLevel="0" max="11" min="10" style="1" width="11"/>
    <col collapsed="false" customWidth="true" hidden="false" outlineLevel="0" max="12" min="12" style="1" width="8"/>
    <col collapsed="false" customWidth="true" hidden="false" outlineLevel="0" max="13" min="13" style="1" width="10"/>
    <col collapsed="false" customWidth="true" hidden="false" outlineLevel="0" max="14" min="14" style="1" width="14"/>
    <col collapsed="false" customWidth="true" hidden="false" outlineLevel="0" max="15" min="15" style="1" width="16"/>
    <col collapsed="false" customWidth="true" hidden="false" outlineLevel="0" max="17" min="16" style="1" width="14"/>
    <col collapsed="false" customWidth="true" hidden="false" outlineLevel="0" max="19" min="19" style="1" width="12"/>
    <col collapsed="false" customWidth="true" hidden="false" outlineLevel="0" max="20" min="20" style="1" width="14"/>
    <col collapsed="false" customWidth="true" hidden="false" outlineLevel="0" max="21" min="21" style="1" width="16"/>
  </cols>
  <sheetData>
    <row r="1" customFormat="false" ht="17.25" hidden="false" customHeight="true" outlineLevel="0" collapsed="false">
      <c r="A1" s="2" t="s">
        <v>214</v>
      </c>
    </row>
    <row r="2" customFormat="false" ht="15" hidden="false" customHeight="true" outlineLevel="0" collapsed="false">
      <c r="A2" s="3" t="s">
        <v>215</v>
      </c>
    </row>
    <row r="5" customFormat="false" ht="31.5" hidden="false" customHeight="true" outlineLevel="0" collapsed="false">
      <c r="A5" s="6" t="s">
        <v>216</v>
      </c>
      <c r="B5" s="6" t="s">
        <v>191</v>
      </c>
      <c r="C5" s="6" t="s">
        <v>192</v>
      </c>
      <c r="D5" s="6" t="s">
        <v>193</v>
      </c>
      <c r="E5" s="6" t="s">
        <v>194</v>
      </c>
      <c r="F5" s="6" t="s">
        <v>195</v>
      </c>
      <c r="G5" s="6" t="s">
        <v>196</v>
      </c>
      <c r="H5" s="6" t="s">
        <v>197</v>
      </c>
      <c r="I5" s="6" t="s">
        <v>198</v>
      </c>
      <c r="J5" s="6" t="s">
        <v>174</v>
      </c>
      <c r="K5" s="6" t="s">
        <v>175</v>
      </c>
      <c r="L5" s="6" t="s">
        <v>199</v>
      </c>
      <c r="M5" s="6" t="s">
        <v>200</v>
      </c>
      <c r="N5" s="6" t="s">
        <v>201</v>
      </c>
      <c r="O5" s="6" t="s">
        <v>202</v>
      </c>
      <c r="P5" s="6" t="s">
        <v>203</v>
      </c>
      <c r="Q5" s="6" t="s">
        <v>204</v>
      </c>
      <c r="S5" s="6" t="s">
        <v>217</v>
      </c>
      <c r="T5" s="6" t="s">
        <v>218</v>
      </c>
      <c r="U5" s="6" t="s">
        <v>219</v>
      </c>
    </row>
    <row r="6" customFormat="false" ht="15" hidden="false" customHeight="true" outlineLevel="0" collapsed="false">
      <c r="A6" s="14" t="s">
        <v>220</v>
      </c>
      <c r="B6" s="8" t="n">
        <v>54298</v>
      </c>
      <c r="C6" s="8" t="n">
        <v>86</v>
      </c>
      <c r="D6" s="8" t="n">
        <v>2308</v>
      </c>
      <c r="E6" s="8" t="n">
        <v>3</v>
      </c>
      <c r="F6" s="38" t="n">
        <f aca="false">C6/B6</f>
        <v>0.00158385207558289</v>
      </c>
      <c r="G6" s="38" t="n">
        <f aca="false">E6/D6</f>
        <v>0.0012998266897747</v>
      </c>
      <c r="H6" s="38" t="n">
        <f aca="false">F6-G6</f>
        <v>0.000284025385808198</v>
      </c>
      <c r="I6" s="18" t="n">
        <f aca="false">SQRT(F6*(1-F6)/B6+G6*(1-G6)/D6)</f>
        <v>0.000769138817903945</v>
      </c>
      <c r="J6" s="38" t="n">
        <f aca="false">H6-Statistical_Test!$B$13*I6</f>
        <v>-0.00122345899639524</v>
      </c>
      <c r="K6" s="38" t="n">
        <f aca="false">H6+Statistical_Test!$B$13*I6</f>
        <v>0.00179150976801164</v>
      </c>
      <c r="L6" s="39" t="n">
        <f aca="false">H6/SQRT(((C6+E6)/(B6+D6))*(1-(C6+E6)/(B6+D6))*(1/B6+1/D6))</f>
        <v>0.337297915334619</v>
      </c>
      <c r="M6" s="20" t="n">
        <f aca="false">2*NORMSDIST(-ABS(L6))</f>
        <v>0.735892331044978</v>
      </c>
      <c r="N6" s="20" t="n">
        <f aca="false">MIN(1,M6*COUNT($M$6:$M$12))</f>
        <v>1</v>
      </c>
      <c r="O6" s="15" t="str">
        <f aca="false">IF(N6&lt;Inputs!$B$10,"Yes","No")</f>
        <v>No</v>
      </c>
      <c r="P6" s="21" t="n">
        <f aca="false">H6*B6</f>
        <v>15.4220103986135</v>
      </c>
      <c r="Q6" s="22" t="n">
        <f aca="false">P6/$P$13</f>
        <v>0.00342173691152913</v>
      </c>
      <c r="S6" s="44" t="n">
        <f aca="false">B6*D6/(B6+D6)</f>
        <v>2213.89577076635</v>
      </c>
      <c r="T6" s="45" t="n">
        <f aca="false">(C6*D6-E6*B6)/(B6+D6)</f>
        <v>0.62880260043105</v>
      </c>
      <c r="U6" s="46" t="n">
        <f aca="false">(C6*(B6-C6)*D6^3+E6*(D6-E6)*B6^3)/(B6*D6*(B6+D6)^2)</f>
        <v>2.8995046005379</v>
      </c>
    </row>
    <row r="7" customFormat="false" ht="15" hidden="false" customHeight="true" outlineLevel="0" collapsed="false">
      <c r="A7" s="14" t="s">
        <v>221</v>
      </c>
      <c r="B7" s="8" t="n">
        <v>115664</v>
      </c>
      <c r="C7" s="8" t="n">
        <v>341</v>
      </c>
      <c r="D7" s="8" t="n">
        <v>5553</v>
      </c>
      <c r="E7" s="8" t="n">
        <v>19</v>
      </c>
      <c r="F7" s="38" t="n">
        <f aca="false">C7/B7</f>
        <v>0.002948194771061</v>
      </c>
      <c r="G7" s="38" t="n">
        <f aca="false">E7/D7</f>
        <v>0.00342157392400504</v>
      </c>
      <c r="H7" s="38" t="n">
        <f aca="false">F7-G7</f>
        <v>-0.000473379152944038</v>
      </c>
      <c r="I7" s="18" t="n">
        <f aca="false">SQRT(F7*(1-F7)/B7+G7*(1-G7)/D7)</f>
        <v>0.000799670331312202</v>
      </c>
      <c r="J7" s="38" t="n">
        <f aca="false">H7-Statistical_Test!$B$13*I7</f>
        <v>-0.00204070420182117</v>
      </c>
      <c r="K7" s="38" t="n">
        <f aca="false">H7+Statistical_Test!$B$13*I7</f>
        <v>0.00109394589593309</v>
      </c>
      <c r="L7" s="39" t="n">
        <f aca="false">H7/SQRT(((C7+E7)/(B7+D7))*(1-(C7+E7)/(B7+D7))*(1/B7+1/D7))</f>
        <v>-0.633237578000245</v>
      </c>
      <c r="M7" s="20" t="n">
        <f aca="false">2*NORMSDIST(-ABS(L7))</f>
        <v>0.52657850965582</v>
      </c>
      <c r="N7" s="20" t="n">
        <f aca="false">MIN(1,M7*COUNT($M$6:$M$12))</f>
        <v>1</v>
      </c>
      <c r="O7" s="15" t="str">
        <f aca="false">IF(N7&lt;Inputs!$B$10,"Yes","No")</f>
        <v>No</v>
      </c>
      <c r="P7" s="21" t="n">
        <f aca="false">H7*B7</f>
        <v>-54.7529263461192</v>
      </c>
      <c r="Q7" s="22" t="n">
        <f aca="false">P7/$P$13</f>
        <v>-0.0121482286842184</v>
      </c>
      <c r="S7" s="44" t="n">
        <f aca="false">B7*D7/(B7+D7)</f>
        <v>5298.61481475371</v>
      </c>
      <c r="T7" s="45" t="n">
        <f aca="false">(C7*D7-E7*B7)/(B7+D7)</f>
        <v>-2.50825379278484</v>
      </c>
      <c r="U7" s="46" t="n">
        <f aca="false">(C7*(B7-C7)*D7^3+E7*(D7-E7)*B7^3)/(B7*D7*(B7+D7)^2)</f>
        <v>17.9533982968527</v>
      </c>
    </row>
    <row r="8" customFormat="false" ht="15" hidden="false" customHeight="true" outlineLevel="0" collapsed="false">
      <c r="A8" s="14" t="s">
        <v>222</v>
      </c>
      <c r="B8" s="8" t="n">
        <v>79537</v>
      </c>
      <c r="C8" s="8" t="n">
        <v>386</v>
      </c>
      <c r="D8" s="8" t="n">
        <v>3415</v>
      </c>
      <c r="E8" s="8" t="n">
        <v>23</v>
      </c>
      <c r="F8" s="38" t="n">
        <f aca="false">C8/B8</f>
        <v>0.00485308724241548</v>
      </c>
      <c r="G8" s="38" t="n">
        <f aca="false">E8/D8</f>
        <v>0.00673499267935578</v>
      </c>
      <c r="H8" s="38" t="n">
        <f aca="false">F8-G8</f>
        <v>-0.0018819054369403</v>
      </c>
      <c r="I8" s="18" t="n">
        <f aca="false">SQRT(F8*(1-F8)/B8+G8*(1-G8)/D8)</f>
        <v>0.00142113243568722</v>
      </c>
      <c r="J8" s="38" t="n">
        <f aca="false">H8-Statistical_Test!$B$13*I8</f>
        <v>-0.00466727382814895</v>
      </c>
      <c r="K8" s="38" t="n">
        <f aca="false">H8+Statistical_Test!$B$13*I8</f>
        <v>0.00090346295426834</v>
      </c>
      <c r="L8" s="39" t="n">
        <f aca="false">H8/SQRT(((C8+E8)/(B8+D8))*(1-(C8+E8)/(B8+D8))*(1/B8+1/D8))</f>
        <v>-1.53740895430245</v>
      </c>
      <c r="M8" s="20" t="n">
        <f aca="false">2*NORMSDIST(-ABS(L8))</f>
        <v>0.124193194997988</v>
      </c>
      <c r="N8" s="20" t="n">
        <f aca="false">MIN(1,M8*COUNT($M$6:$M$12))</f>
        <v>0.869352364985919</v>
      </c>
      <c r="O8" s="15" t="str">
        <f aca="false">IF(N8&lt;Inputs!$B$10,"Yes","No")</f>
        <v>No</v>
      </c>
      <c r="P8" s="21" t="n">
        <f aca="false">H8*B8</f>
        <v>-149.681112737921</v>
      </c>
      <c r="Q8" s="22" t="n">
        <f aca="false">P8/$P$13</f>
        <v>-0.0332102868028245</v>
      </c>
      <c r="S8" s="44" t="n">
        <f aca="false">B8*D8/(B8+D8)</f>
        <v>3274.40995997685</v>
      </c>
      <c r="T8" s="45" t="n">
        <f aca="false">(C8*D8-E8*B8)/(B8+D8)</f>
        <v>-6.16212990645192</v>
      </c>
      <c r="U8" s="46" t="n">
        <f aca="false">(C8*(B8-C8)*D8^3+E8*(D8-E8)*B8^3)/(B8*D8*(B8+D8)^2)</f>
        <v>21.6538542355624</v>
      </c>
    </row>
    <row r="9" customFormat="false" ht="15" hidden="false" customHeight="true" outlineLevel="0" collapsed="false">
      <c r="A9" s="14" t="s">
        <v>223</v>
      </c>
      <c r="B9" s="8" t="n">
        <v>123334</v>
      </c>
      <c r="C9" s="8" t="n">
        <v>1036</v>
      </c>
      <c r="D9" s="8" t="n">
        <v>4150</v>
      </c>
      <c r="E9" s="8" t="n">
        <v>34</v>
      </c>
      <c r="F9" s="38" t="n">
        <f aca="false">C9/B9</f>
        <v>0.00839995459484003</v>
      </c>
      <c r="G9" s="38" t="n">
        <f aca="false">E9/D9</f>
        <v>0.00819277108433735</v>
      </c>
      <c r="H9" s="38" t="n">
        <f aca="false">F9-G9</f>
        <v>0.000207183510502678</v>
      </c>
      <c r="I9" s="18" t="n">
        <f aca="false">SQRT(F9*(1-F9)/B9+G9*(1-G9)/D9)</f>
        <v>0.00142320874263025</v>
      </c>
      <c r="J9" s="38" t="n">
        <f aca="false">H9-Statistical_Test!$B$13*I9</f>
        <v>-0.00258225436753515</v>
      </c>
      <c r="K9" s="38" t="n">
        <f aca="false">H9+Statistical_Test!$B$13*I9</f>
        <v>0.00299662138854051</v>
      </c>
      <c r="L9" s="39" t="n">
        <f aca="false">H9/SQRT(((C9+E9)/(B9+D9))*(1-(C9+E9)/(B9+D9))*(1/B9+1/D9))</f>
        <v>0.14389940873199</v>
      </c>
      <c r="M9" s="20" t="n">
        <f aca="false">2*NORMSDIST(-ABS(L9))</f>
        <v>0.885579902592296</v>
      </c>
      <c r="N9" s="20" t="n">
        <f aca="false">MIN(1,M9*COUNT($M$6:$M$12))</f>
        <v>1</v>
      </c>
      <c r="O9" s="15" t="str">
        <f aca="false">IF(N9&lt;Inputs!$B$10,"Yes","No")</f>
        <v>No</v>
      </c>
      <c r="P9" s="21" t="n">
        <f aca="false">H9*B9</f>
        <v>25.5527710843373</v>
      </c>
      <c r="Q9" s="22" t="n">
        <f aca="false">P9/$P$13</f>
        <v>0.00566948521957888</v>
      </c>
      <c r="S9" s="44" t="n">
        <f aca="false">B9*D9/(B9+D9)</f>
        <v>4014.90461548116</v>
      </c>
      <c r="T9" s="45" t="n">
        <f aca="false">(C9*D9-E9*B9)/(B9+D9)</f>
        <v>0.831822032568793</v>
      </c>
      <c r="U9" s="46" t="n">
        <f aca="false">(C9*(B9-C9)*D9^3+E9*(D9-E9)*B9^3)/(B9*D9*(B9+D9)^2)</f>
        <v>32.6503371132347</v>
      </c>
    </row>
    <row r="10" customFormat="false" ht="15" hidden="false" customHeight="true" outlineLevel="0" collapsed="false">
      <c r="A10" s="14" t="s">
        <v>224</v>
      </c>
      <c r="B10" s="8" t="n">
        <v>125541</v>
      </c>
      <c r="C10" s="8" t="n">
        <v>3660</v>
      </c>
      <c r="D10" s="8" t="n">
        <v>5235</v>
      </c>
      <c r="E10" s="8" t="n">
        <v>114</v>
      </c>
      <c r="F10" s="38" t="n">
        <f aca="false">C10/B10</f>
        <v>0.0291538222572705</v>
      </c>
      <c r="G10" s="38" t="n">
        <f aca="false">E10/D10</f>
        <v>0.0217765042979943</v>
      </c>
      <c r="H10" s="38" t="n">
        <f aca="false">F10-G10</f>
        <v>0.00737731795927626</v>
      </c>
      <c r="I10" s="18" t="n">
        <f aca="false">SQRT(F10*(1-F10)/B10+G10*(1-G10)/D10)</f>
        <v>0.00207235620533701</v>
      </c>
      <c r="J10" s="38" t="n">
        <f aca="false">H10-Statistical_Test!$B$13*I10</f>
        <v>0.00331557443367764</v>
      </c>
      <c r="K10" s="38" t="n">
        <f aca="false">H10+Statistical_Test!$B$13*I10</f>
        <v>0.0114390614848749</v>
      </c>
      <c r="L10" s="39" t="n">
        <f aca="false">H10/SQRT(((C10+E10)/(B10+D10))*(1-(C10+E10)/(B10+D10))*(1/B10+1/D10))</f>
        <v>3.12397416350575</v>
      </c>
      <c r="M10" s="20" t="n">
        <f aca="false">2*NORMSDIST(-ABS(L10))</f>
        <v>0.0017842612318201</v>
      </c>
      <c r="N10" s="20" t="n">
        <f aca="false">MIN(1,M10*COUNT($M$6:$M$12))</f>
        <v>0.0124898286227407</v>
      </c>
      <c r="O10" s="15" t="str">
        <f aca="false">IF(N10&lt;Inputs!$B$10,"Yes","No")</f>
        <v>Yes</v>
      </c>
      <c r="P10" s="21" t="n">
        <f aca="false">H10*B10</f>
        <v>926.155873925501</v>
      </c>
      <c r="Q10" s="22" t="n">
        <f aca="false">P10/$P$13</f>
        <v>0.205489534615105</v>
      </c>
      <c r="S10" s="44" t="n">
        <f aca="false">B10*D10/(B10+D10)</f>
        <v>5025.44148008809</v>
      </c>
      <c r="T10" s="45" t="n">
        <f aca="false">(C10*D10-E10*B10)/(B10+D10)</f>
        <v>37.0742796843458</v>
      </c>
      <c r="U10" s="46" t="n">
        <f aca="false">(C10*(B10-C10)*D10^3+E10*(D10-E10)*B10^3)/(B10*D10*(B10+D10)^2)</f>
        <v>108.461910975288</v>
      </c>
    </row>
    <row r="11" customFormat="false" ht="15" hidden="false" customHeight="true" outlineLevel="0" collapsed="false">
      <c r="A11" s="14" t="s">
        <v>225</v>
      </c>
      <c r="B11" s="8" t="n">
        <v>44149</v>
      </c>
      <c r="C11" s="8" t="n">
        <v>5135</v>
      </c>
      <c r="D11" s="8" t="n">
        <v>1853</v>
      </c>
      <c r="E11" s="8" t="n">
        <v>107</v>
      </c>
      <c r="F11" s="38" t="n">
        <f aca="false">C11/B11</f>
        <v>0.116310675213482</v>
      </c>
      <c r="G11" s="38" t="n">
        <f aca="false">E11/D11</f>
        <v>0.0577441985968699</v>
      </c>
      <c r="H11" s="38" t="n">
        <f aca="false">F11-G11</f>
        <v>0.0585664766166117</v>
      </c>
      <c r="I11" s="18" t="n">
        <f aca="false">SQRT(F11*(1-F11)/B11+G11*(1-G11)/D11)</f>
        <v>0.0056294913104395</v>
      </c>
      <c r="J11" s="38" t="n">
        <f aca="false">H11-Statistical_Test!$B$13*I11</f>
        <v>0.0475328763968691</v>
      </c>
      <c r="K11" s="38" t="n">
        <f aca="false">H11+Statistical_Test!$B$13*I11</f>
        <v>0.0696000768363543</v>
      </c>
      <c r="L11" s="39" t="n">
        <f aca="false">H11/SQRT(((C11+E11)/(B11+D11))*(1-(C11+E11)/(B11+D11))*(1/B11+1/D11))</f>
        <v>7.77266595515152</v>
      </c>
      <c r="M11" s="20" t="n">
        <f aca="false">2*NORMSDIST(-ABS(L11))</f>
        <v>7.68512180180064E-015</v>
      </c>
      <c r="N11" s="20" t="n">
        <f aca="false">MIN(1,M11*COUNT($M$6:$M$12))</f>
        <v>5.37958526126045E-014</v>
      </c>
      <c r="O11" s="15" t="str">
        <f aca="false">IF(N11&lt;Inputs!$B$10,"Yes","No")</f>
        <v>Yes</v>
      </c>
      <c r="P11" s="21" t="n">
        <f aca="false">H11*B11</f>
        <v>2585.65137614679</v>
      </c>
      <c r="Q11" s="22" t="n">
        <f aca="false">P11/$P$13</f>
        <v>0.573687769974722</v>
      </c>
      <c r="S11" s="44" t="n">
        <f aca="false">B11*D11/(B11+D11)</f>
        <v>1778.35957132299</v>
      </c>
      <c r="T11" s="45" t="n">
        <f aca="false">(C11*D11-E11*B11)/(B11+D11)</f>
        <v>104.152254249815</v>
      </c>
      <c r="U11" s="46" t="n">
        <f aca="false">(C11*(B11-C11)*D11^3+E11*(D11-E11)*B11^3)/(B11*D11*(B11+D11)^2)</f>
        <v>100.225321854044</v>
      </c>
    </row>
    <row r="12" customFormat="false" ht="15" hidden="false" customHeight="true" outlineLevel="0" collapsed="false">
      <c r="A12" s="14" t="s">
        <v>226</v>
      </c>
      <c r="B12" s="8" t="n">
        <v>22054</v>
      </c>
      <c r="C12" s="8" t="n">
        <v>3779</v>
      </c>
      <c r="D12" s="8" t="n">
        <v>1010</v>
      </c>
      <c r="E12" s="8" t="n">
        <v>120</v>
      </c>
      <c r="F12" s="38" t="n">
        <f aca="false">C12/B12</f>
        <v>0.171352135666999</v>
      </c>
      <c r="G12" s="38" t="n">
        <f aca="false">E12/D12</f>
        <v>0.118811881188119</v>
      </c>
      <c r="H12" s="38" t="n">
        <f aca="false">F12-G12</f>
        <v>0.0525402544788804</v>
      </c>
      <c r="I12" s="18" t="n">
        <f aca="false">SQRT(F12*(1-F12)/B12+G12*(1-G12)/D12)</f>
        <v>0.0104927280530019</v>
      </c>
      <c r="J12" s="38" t="n">
        <f aca="false">H12-Statistical_Test!$B$13*I12</f>
        <v>0.0319748853954235</v>
      </c>
      <c r="K12" s="38" t="n">
        <f aca="false">H12+Statistical_Test!$B$13*I12</f>
        <v>0.0731056235623373</v>
      </c>
      <c r="L12" s="39" t="n">
        <f aca="false">H12/SQRT(((C12+E12)/(B12+D12))*(1-(C12+E12)/(B12+D12))*(1/B12+1/D12))</f>
        <v>4.35645095670826</v>
      </c>
      <c r="M12" s="20" t="n">
        <f aca="false">2*NORMSDIST(-ABS(L12))</f>
        <v>1.32188294343846E-005</v>
      </c>
      <c r="N12" s="20" t="n">
        <f aca="false">MIN(1,M12*COUNT($M$6:$M$12))</f>
        <v>9.2531806040692E-005</v>
      </c>
      <c r="O12" s="15" t="str">
        <f aca="false">IF(N12&lt;Inputs!$B$10,"Yes","No")</f>
        <v>Yes</v>
      </c>
      <c r="P12" s="21" t="n">
        <f aca="false">H12*B12</f>
        <v>1158.72277227723</v>
      </c>
      <c r="Q12" s="22" t="n">
        <f aca="false">P12/$P$13</f>
        <v>0.257089988766108</v>
      </c>
      <c r="S12" s="44" t="n">
        <f aca="false">B12*D12/(B12+D12)</f>
        <v>965.770898369754</v>
      </c>
      <c r="T12" s="45" t="n">
        <f aca="false">(C12*D12-E12*B12)/(B12+D12)</f>
        <v>50.7418487686438</v>
      </c>
      <c r="U12" s="46" t="n">
        <f aca="false">(C12*(B12-C12)*D12^3+E12*(D12-E12)*B12^3)/(B12*D12*(B12+D12)^2)</f>
        <v>102.689269280334</v>
      </c>
    </row>
    <row r="13" customFormat="false" ht="15" hidden="false" customHeight="true" outlineLevel="0" collapsed="false">
      <c r="A13" s="32" t="s">
        <v>212</v>
      </c>
      <c r="B13" s="40" t="n">
        <f aca="false">SUM(B6:B12)</f>
        <v>564577</v>
      </c>
      <c r="C13" s="40" t="n">
        <f aca="false">SUM(C6:C12)</f>
        <v>14423</v>
      </c>
      <c r="D13" s="40" t="n">
        <f aca="false">SUM(D6:D12)</f>
        <v>23524</v>
      </c>
      <c r="E13" s="40" t="n">
        <f aca="false">SUM(E6:E12)</f>
        <v>420</v>
      </c>
      <c r="F13" s="41" t="n">
        <f aca="false">C13/B13</f>
        <v>0.0255465596366837</v>
      </c>
      <c r="G13" s="41" t="n">
        <f aca="false">E13/D13</f>
        <v>0.0178541064444822</v>
      </c>
      <c r="H13" s="41" t="n">
        <f aca="false">F13-G13</f>
        <v>0.00769245319220152</v>
      </c>
      <c r="I13" s="42" t="n">
        <f aca="false">SQRT(F13*(1-F13)/B13+G13*(1-G13)/D13)</f>
        <v>0.000888547327566938</v>
      </c>
      <c r="J13" s="41" t="n">
        <f aca="false">H13-Statistical_Test!$B$13*I13</f>
        <v>0.00595093243161101</v>
      </c>
      <c r="K13" s="41" t="n">
        <f aca="false">H13+Statistical_Test!$B$13*I13</f>
        <v>0.00943397395279203</v>
      </c>
      <c r="L13" s="32"/>
      <c r="M13" s="32"/>
      <c r="N13" s="32"/>
      <c r="O13" s="32"/>
      <c r="P13" s="40" t="n">
        <f aca="false">SUM(P6:P12)</f>
        <v>4507.07076474843</v>
      </c>
      <c r="Q13" s="43" t="n">
        <f aca="false">SUM(Q6:Q12)</f>
        <v>1</v>
      </c>
    </row>
    <row r="15" customFormat="false" ht="30" hidden="false" customHeight="true" outlineLevel="0" collapsed="false">
      <c r="A15" s="36" t="s">
        <v>213</v>
      </c>
      <c r="B15" s="36"/>
      <c r="C15" s="36"/>
      <c r="D15" s="36"/>
      <c r="E15" s="36"/>
      <c r="F15" s="36"/>
      <c r="G15" s="36"/>
      <c r="H15" s="36"/>
      <c r="I15" s="36"/>
      <c r="J15" s="36"/>
      <c r="K15" s="36"/>
      <c r="L15" s="36"/>
      <c r="M15" s="36"/>
      <c r="N15" s="36"/>
      <c r="O15" s="36"/>
      <c r="P15" s="36"/>
      <c r="Q15" s="36"/>
    </row>
    <row r="17" customFormat="false" ht="15" hidden="false" customHeight="true" outlineLevel="0" collapsed="false">
      <c r="A17" s="16" t="s">
        <v>227</v>
      </c>
    </row>
    <row r="18" customFormat="false" ht="15" hidden="false" customHeight="true" outlineLevel="0" collapsed="false">
      <c r="A18" s="3" t="s">
        <v>228</v>
      </c>
    </row>
    <row r="19" customFormat="false" ht="15" hidden="false" customHeight="true" outlineLevel="0" collapsed="false">
      <c r="A19" s="6" t="s">
        <v>94</v>
      </c>
      <c r="B19" s="6" t="s">
        <v>40</v>
      </c>
    </row>
    <row r="20" customFormat="false" ht="15" hidden="false" customHeight="true" outlineLevel="0" collapsed="false">
      <c r="A20" s="14" t="s">
        <v>229</v>
      </c>
      <c r="B20" s="18" t="n">
        <f aca="false">SUM(T6:T12)/SUM(S6:S12)</f>
        <v>0.00818552005132641</v>
      </c>
    </row>
    <row r="21" customFormat="false" ht="15" hidden="false" customHeight="true" outlineLevel="0" collapsed="false">
      <c r="A21" s="14" t="s">
        <v>230</v>
      </c>
      <c r="B21" s="47" t="n">
        <f aca="false">SQRT(SUM(U6:U12))/SUM(S6:S12)</f>
        <v>0.00087103414945108</v>
      </c>
    </row>
    <row r="22" customFormat="false" ht="15" hidden="false" customHeight="true" outlineLevel="0" collapsed="false">
      <c r="A22" s="14" t="s">
        <v>174</v>
      </c>
      <c r="B22" s="18" t="n">
        <f aca="false">B20-Statistical_Test!B13*B21</f>
        <v>0.00647832448909781</v>
      </c>
    </row>
    <row r="23" customFormat="false" ht="15" hidden="false" customHeight="true" outlineLevel="0" collapsed="false">
      <c r="A23" s="14" t="s">
        <v>175</v>
      </c>
      <c r="B23" s="18" t="n">
        <f aca="false">B20+Statistical_Test!B13*B21</f>
        <v>0.009892715613555</v>
      </c>
    </row>
    <row r="24" customFormat="false" ht="15" hidden="false" customHeight="true" outlineLevel="0" collapsed="false">
      <c r="A24" s="14" t="s">
        <v>231</v>
      </c>
      <c r="B24" s="18" t="n">
        <f aca="false">H13</f>
        <v>0.00769245319220152</v>
      </c>
    </row>
    <row r="25" customFormat="false" ht="15" hidden="false" customHeight="true" outlineLevel="0" collapsed="false">
      <c r="A25" s="14" t="s">
        <v>232</v>
      </c>
      <c r="B25" s="18" t="n">
        <f aca="false">B20-B24</f>
        <v>0.00049306685912489</v>
      </c>
    </row>
    <row r="27" customFormat="false" ht="15" hidden="false" customHeight="true" outlineLevel="0" collapsed="false">
      <c r="A27" s="16" t="s">
        <v>233</v>
      </c>
      <c r="B27" s="48" t="n">
        <f aca="false">SUM(P10:P12)/P13</f>
        <v>1.03626729335594</v>
      </c>
    </row>
    <row r="28" customFormat="false" ht="15" hidden="false" customHeight="true" outlineLevel="0" collapsed="false">
      <c r="A28" s="16" t="s">
        <v>234</v>
      </c>
      <c r="B28" s="48" t="n">
        <f aca="false">SUM(P11:P12)/P13</f>
        <v>0.83077775874083</v>
      </c>
    </row>
    <row r="29" customFormat="false" ht="15" hidden="false" customHeight="true" outlineLevel="0" collapsed="false">
      <c r="A29" s="3" t="s">
        <v>235</v>
      </c>
    </row>
  </sheetData>
  <mergeCells count="1">
    <mergeCell ref="A15:Q15"/>
  </mergeCells>
  <conditionalFormatting sqref="O6:O12">
    <cfRule type="cellIs" priority="2" operator="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22"/>
    <col collapsed="false" customWidth="true" hidden="false" outlineLevel="0" max="5" min="4" style="1" width="12"/>
    <col collapsed="false" customWidth="true" hidden="false" outlineLevel="0" max="8" min="6" style="1" width="14"/>
  </cols>
  <sheetData>
    <row r="1" customFormat="false" ht="17.25" hidden="false" customHeight="true" outlineLevel="0" collapsed="false">
      <c r="A1" s="2" t="s">
        <v>236</v>
      </c>
    </row>
    <row r="2" customFormat="false" ht="15" hidden="false" customHeight="true" outlineLevel="0" collapsed="false">
      <c r="A2" s="3" t="s">
        <v>237</v>
      </c>
    </row>
    <row r="4" customFormat="false" ht="30" hidden="false" customHeight="true" outlineLevel="0" collapsed="false">
      <c r="A4" s="6" t="s">
        <v>216</v>
      </c>
      <c r="B4" s="6" t="s">
        <v>191</v>
      </c>
      <c r="C4" s="6" t="s">
        <v>193</v>
      </c>
      <c r="D4" s="6" t="s">
        <v>238</v>
      </c>
      <c r="E4" s="6" t="s">
        <v>239</v>
      </c>
      <c r="F4" s="6" t="s">
        <v>240</v>
      </c>
      <c r="G4" s="6" t="s">
        <v>241</v>
      </c>
      <c r="H4" s="6" t="s">
        <v>242</v>
      </c>
    </row>
    <row r="5" customFormat="false" ht="15" hidden="false" customHeight="true" outlineLevel="0" collapsed="false">
      <c r="A5" s="49" t="str">
        <f aca="false">Segment_Frequency!A6</f>
        <v>1</v>
      </c>
      <c r="B5" s="17" t="n">
        <f aca="false">Segment_Frequency!B6</f>
        <v>54298</v>
      </c>
      <c r="C5" s="17" t="n">
        <f aca="false">Segment_Frequency!D6</f>
        <v>2308</v>
      </c>
      <c r="D5" s="19" t="n">
        <f aca="false">B5/SUM($B$5:$B$11)</f>
        <v>0.0961746581954277</v>
      </c>
      <c r="E5" s="19" t="n">
        <f aca="false">C5/SUM($C$5:$C$11)</f>
        <v>0.0981125658901547</v>
      </c>
      <c r="F5" s="39" t="n">
        <f aca="false">(D5-E5)*100</f>
        <v>-0.193790769472701</v>
      </c>
      <c r="G5" s="21" t="n">
        <f aca="false">(B5+C5)*SUM($B$5:$B$11)/(SUM($B$5:$B$11)+SUM($C$5:$C$11))</f>
        <v>54341.763850087</v>
      </c>
      <c r="H5" s="21" t="n">
        <f aca="false">(B5+C5)*SUM($C$5:$C$11)/(SUM($B$5:$B$11)+SUM($C$5:$C$11))</f>
        <v>2264.23614991303</v>
      </c>
    </row>
    <row r="6" customFormat="false" ht="15" hidden="false" customHeight="true" outlineLevel="0" collapsed="false">
      <c r="A6" s="49" t="str">
        <f aca="false">Segment_Frequency!A7</f>
        <v>2-5</v>
      </c>
      <c r="B6" s="17" t="n">
        <f aca="false">Segment_Frequency!B7</f>
        <v>115664</v>
      </c>
      <c r="C6" s="17" t="n">
        <f aca="false">Segment_Frequency!D7</f>
        <v>5553</v>
      </c>
      <c r="D6" s="19" t="n">
        <f aca="false">B6/SUM($B$5:$B$11)</f>
        <v>0.204868423616265</v>
      </c>
      <c r="E6" s="19" t="n">
        <f aca="false">C6/SUM($C$5:$C$11)</f>
        <v>0.236056793062404</v>
      </c>
      <c r="F6" s="39" t="n">
        <f aca="false">(D6-E6)*100</f>
        <v>-3.11883694461394</v>
      </c>
      <c r="G6" s="21" t="n">
        <f aca="false">(B6+C6)*SUM($B$5:$B$11)/(SUM($B$5:$B$11)+SUM($C$5:$C$11))</f>
        <v>116368.328244638</v>
      </c>
      <c r="H6" s="21" t="n">
        <f aca="false">(B6+C6)*SUM($C$5:$C$11)/(SUM($B$5:$B$11)+SUM($C$5:$C$11))</f>
        <v>4848.67175536175</v>
      </c>
    </row>
    <row r="7" customFormat="false" ht="15" hidden="false" customHeight="true" outlineLevel="0" collapsed="false">
      <c r="A7" s="49" t="str">
        <f aca="false">Segment_Frequency!A8</f>
        <v>6-10</v>
      </c>
      <c r="B7" s="17" t="n">
        <f aca="false">Segment_Frequency!B8</f>
        <v>79537</v>
      </c>
      <c r="C7" s="17" t="n">
        <f aca="false">Segment_Frequency!D8</f>
        <v>3415</v>
      </c>
      <c r="D7" s="19" t="n">
        <f aca="false">B7/SUM($B$5:$B$11)</f>
        <v>0.140878923512648</v>
      </c>
      <c r="E7" s="19" t="n">
        <f aca="false">C7/SUM($C$5:$C$11)</f>
        <v>0.14517088930454</v>
      </c>
      <c r="F7" s="39" t="n">
        <f aca="false">(D7-E7)*100</f>
        <v>-0.429196579189253</v>
      </c>
      <c r="G7" s="21" t="n">
        <f aca="false">(B7+C7)*SUM($B$5:$B$11)/(SUM($B$5:$B$11)+SUM($C$5:$C$11))</f>
        <v>79633.9256420241</v>
      </c>
      <c r="H7" s="21" t="n">
        <f aca="false">(B7+C7)*SUM($C$5:$C$11)/(SUM($B$5:$B$11)+SUM($C$5:$C$11))</f>
        <v>3318.07435797593</v>
      </c>
    </row>
    <row r="8" customFormat="false" ht="15" hidden="false" customHeight="true" outlineLevel="0" collapsed="false">
      <c r="A8" s="49" t="str">
        <f aca="false">Segment_Frequency!A9</f>
        <v>11-20</v>
      </c>
      <c r="B8" s="17" t="n">
        <f aca="false">Segment_Frequency!B9</f>
        <v>123334</v>
      </c>
      <c r="C8" s="17" t="n">
        <f aca="false">Segment_Frequency!D9</f>
        <v>4150</v>
      </c>
      <c r="D8" s="19" t="n">
        <f aca="false">B8/SUM($B$5:$B$11)</f>
        <v>0.218453815865684</v>
      </c>
      <c r="E8" s="19" t="n">
        <f aca="false">C8/SUM($C$5:$C$11)</f>
        <v>0.176415575582384</v>
      </c>
      <c r="F8" s="39" t="n">
        <f aca="false">(D8-E8)*100</f>
        <v>4.20382402832996</v>
      </c>
      <c r="G8" s="21" t="n">
        <f aca="false">(B8+C8)*SUM($B$5:$B$11)/(SUM($B$5:$B$11)+SUM($C$5:$C$11))</f>
        <v>122384.648670892</v>
      </c>
      <c r="H8" s="21" t="n">
        <f aca="false">(B8+C8)*SUM($C$5:$C$11)/(SUM($B$5:$B$11)+SUM($C$5:$C$11))</f>
        <v>5099.35132910844</v>
      </c>
    </row>
    <row r="9" customFormat="false" ht="15" hidden="false" customHeight="true" outlineLevel="0" collapsed="false">
      <c r="A9" s="49" t="str">
        <f aca="false">Segment_Frequency!A10</f>
        <v>21-50</v>
      </c>
      <c r="B9" s="17" t="n">
        <f aca="false">Segment_Frequency!B10</f>
        <v>125541</v>
      </c>
      <c r="C9" s="17" t="n">
        <f aca="false">Segment_Frequency!D10</f>
        <v>5235</v>
      </c>
      <c r="D9" s="19" t="n">
        <f aca="false">B9/SUM($B$5:$B$11)</f>
        <v>0.222362937207857</v>
      </c>
      <c r="E9" s="19" t="n">
        <f aca="false">C9/SUM($C$5:$C$11)</f>
        <v>0.222538683897296</v>
      </c>
      <c r="F9" s="39" t="n">
        <f aca="false">(D9-E9)*100</f>
        <v>-0.0175746689439898</v>
      </c>
      <c r="G9" s="21" t="n">
        <f aca="false">(B9+C9)*SUM($B$5:$B$11)/(SUM($B$5:$B$11)+SUM($C$5:$C$11))</f>
        <v>125544.968894799</v>
      </c>
      <c r="H9" s="21" t="n">
        <f aca="false">(B9+C9)*SUM($C$5:$C$11)/(SUM($B$5:$B$11)+SUM($C$5:$C$11))</f>
        <v>5231.03110520132</v>
      </c>
    </row>
    <row r="10" customFormat="false" ht="15" hidden="false" customHeight="true" outlineLevel="0" collapsed="false">
      <c r="A10" s="49" t="str">
        <f aca="false">Segment_Frequency!A11</f>
        <v>51-100</v>
      </c>
      <c r="B10" s="17" t="n">
        <f aca="false">Segment_Frequency!B11</f>
        <v>44149</v>
      </c>
      <c r="C10" s="17" t="n">
        <f aca="false">Segment_Frequency!D11</f>
        <v>1853</v>
      </c>
      <c r="D10" s="19" t="n">
        <f aca="false">B10/SUM($B$5:$B$11)</f>
        <v>0.0781983679816925</v>
      </c>
      <c r="E10" s="19" t="n">
        <f aca="false">C10/SUM($C$5:$C$11)</f>
        <v>0.0787706172419657</v>
      </c>
      <c r="F10" s="39" t="n">
        <f aca="false">(D10-E10)*100</f>
        <v>-0.0572249260273175</v>
      </c>
      <c r="G10" s="21" t="n">
        <f aca="false">(B10+C10)*SUM($B$5:$B$11)/(SUM($B$5:$B$11)+SUM($C$5:$C$11))</f>
        <v>44161.9231288503</v>
      </c>
      <c r="H10" s="21" t="n">
        <f aca="false">(B10+C10)*SUM($C$5:$C$11)/(SUM($B$5:$B$11)+SUM($C$5:$C$11))</f>
        <v>1840.07687114968</v>
      </c>
    </row>
    <row r="11" customFormat="false" ht="15" hidden="false" customHeight="true" outlineLevel="0" collapsed="false">
      <c r="A11" s="49" t="str">
        <f aca="false">Segment_Frequency!A12</f>
        <v>101+</v>
      </c>
      <c r="B11" s="17" t="n">
        <f aca="false">Segment_Frequency!B12</f>
        <v>22054</v>
      </c>
      <c r="C11" s="17" t="n">
        <f aca="false">Segment_Frequency!D12</f>
        <v>1010</v>
      </c>
      <c r="D11" s="19" t="n">
        <f aca="false">B11/SUM($B$5:$B$11)</f>
        <v>0.0390628736204273</v>
      </c>
      <c r="E11" s="19" t="n">
        <f aca="false">C11/SUM($C$5:$C$11)</f>
        <v>0.0429348750212549</v>
      </c>
      <c r="F11" s="39" t="n">
        <f aca="false">(D11-E11)*100</f>
        <v>-0.387200140082757</v>
      </c>
      <c r="G11" s="21" t="n">
        <f aca="false">(B11+C11)*SUM($B$5:$B$11)/(SUM($B$5:$B$11)+SUM($C$5:$C$11))</f>
        <v>22141.4415687101</v>
      </c>
      <c r="H11" s="21" t="n">
        <f aca="false">(B11+C11)*SUM($C$5:$C$11)/(SUM($B$5:$B$11)+SUM($C$5:$C$11))</f>
        <v>922.558431289864</v>
      </c>
    </row>
    <row r="12" customFormat="false" ht="15" hidden="false" customHeight="true" outlineLevel="0" collapsed="false">
      <c r="A12" s="32" t="s">
        <v>243</v>
      </c>
      <c r="B12" s="50" t="n">
        <f aca="false">CHITEST(B5:C11,G5:H11)</f>
        <v>1.65183847652148E-062</v>
      </c>
      <c r="C12" s="32" t="s">
        <v>244</v>
      </c>
      <c r="D12" s="51" t="n">
        <f aca="false">MAX(MAX(F5:F11),-MIN(F5:F11))</f>
        <v>4.20382402832996</v>
      </c>
      <c r="E12" s="52" t="str">
        <f aca="false">IF(B12&lt;Inputs!$B$10,"Distribution differs (check size of gap)","No evidence of imbalance")</f>
        <v>Distribution differs (check size of gap)</v>
      </c>
      <c r="F12" s="52"/>
      <c r="G12" s="52"/>
      <c r="H12" s="52"/>
    </row>
    <row r="15" customFormat="false" ht="30" hidden="false" customHeight="true" outlineLevel="0" collapsed="false">
      <c r="A15" s="6" t="s">
        <v>190</v>
      </c>
      <c r="B15" s="6" t="s">
        <v>191</v>
      </c>
      <c r="C15" s="6" t="s">
        <v>193</v>
      </c>
      <c r="D15" s="6" t="s">
        <v>238</v>
      </c>
      <c r="E15" s="6" t="s">
        <v>239</v>
      </c>
      <c r="F15" s="6" t="s">
        <v>240</v>
      </c>
      <c r="G15" s="6" t="s">
        <v>241</v>
      </c>
      <c r="H15" s="6" t="s">
        <v>242</v>
      </c>
    </row>
    <row r="16" customFormat="false" ht="15" hidden="false" customHeight="true" outlineLevel="0" collapsed="false">
      <c r="A16" s="49" t="str">
        <f aca="false">Segment_Day!A6</f>
        <v>Monday</v>
      </c>
      <c r="B16" s="17" t="n">
        <f aca="false">Segment_Day!B6</f>
        <v>83571</v>
      </c>
      <c r="C16" s="17" t="n">
        <f aca="false">Segment_Day!D6</f>
        <v>3502</v>
      </c>
      <c r="D16" s="19" t="n">
        <f aca="false">B16/SUM($B$16:$B$22)</f>
        <v>0.148024095916058</v>
      </c>
      <c r="E16" s="19" t="n">
        <f aca="false">C16/SUM($C$16:$C$22)</f>
        <v>0.148869239925183</v>
      </c>
      <c r="F16" s="39" t="n">
        <f aca="false">(D16-E16)*100</f>
        <v>-0.0845144009125304</v>
      </c>
      <c r="G16" s="21" t="n">
        <f aca="false">(B16+C16)*SUM($B$16:$B$22)/(SUM($B$16:$B$22)+SUM($C$16:$C$22))</f>
        <v>83590.0859223161</v>
      </c>
      <c r="H16" s="21" t="n">
        <f aca="false">(B16+C16)*SUM($C$16:$C$22)/(SUM($B$16:$B$22)+SUM($C$16:$C$22))</f>
        <v>3482.91407768394</v>
      </c>
    </row>
    <row r="17" customFormat="false" ht="15" hidden="false" customHeight="true" outlineLevel="0" collapsed="false">
      <c r="A17" s="49" t="str">
        <f aca="false">Segment_Day!A7</f>
        <v>Tuesday</v>
      </c>
      <c r="B17" s="17" t="n">
        <f aca="false">Segment_Day!B7</f>
        <v>74572</v>
      </c>
      <c r="C17" s="17" t="n">
        <f aca="false">Segment_Day!D7</f>
        <v>2907</v>
      </c>
      <c r="D17" s="19" t="n">
        <f aca="false">B17/SUM($B$16:$B$22)</f>
        <v>0.132084728920944</v>
      </c>
      <c r="E17" s="19" t="n">
        <f aca="false">C17/SUM($C$16:$C$22)</f>
        <v>0.123575922462166</v>
      </c>
      <c r="F17" s="39" t="n">
        <f aca="false">(D17-E17)*100</f>
        <v>0.850880645877806</v>
      </c>
      <c r="G17" s="21" t="n">
        <f aca="false">(B17+C17)*SUM($B$16:$B$22)/(SUM($B$16:$B$22)+SUM($C$16:$C$22))</f>
        <v>74379.8452697751</v>
      </c>
      <c r="H17" s="21" t="n">
        <f aca="false">(B17+C17)*SUM($C$16:$C$22)/(SUM($B$16:$B$22)+SUM($C$16:$C$22))</f>
        <v>3099.15473022491</v>
      </c>
    </row>
    <row r="18" customFormat="false" ht="15" hidden="false" customHeight="true" outlineLevel="0" collapsed="false">
      <c r="A18" s="49" t="str">
        <f aca="false">Segment_Day!A8</f>
        <v>Wednesday</v>
      </c>
      <c r="B18" s="17" t="n">
        <f aca="false">Segment_Day!B8</f>
        <v>77418</v>
      </c>
      <c r="C18" s="17" t="n">
        <f aca="false">Segment_Day!D8</f>
        <v>3490</v>
      </c>
      <c r="D18" s="19" t="n">
        <f aca="false">B18/SUM($B$16:$B$22)</f>
        <v>0.137125671077639</v>
      </c>
      <c r="E18" s="19" t="n">
        <f aca="false">C18/SUM($C$16:$C$22)</f>
        <v>0.148359122598198</v>
      </c>
      <c r="F18" s="39" t="n">
        <f aca="false">(D18-E18)*100</f>
        <v>-1.12334515205589</v>
      </c>
      <c r="G18" s="21" t="n">
        <f aca="false">(B18+C18)*SUM($B$16:$B$22)/(SUM($B$16:$B$22)+SUM($C$16:$C$22))</f>
        <v>77671.6855030003</v>
      </c>
      <c r="H18" s="21" t="n">
        <f aca="false">(B18+C18)*SUM($C$16:$C$22)/(SUM($B$16:$B$22)+SUM($C$16:$C$22))</f>
        <v>3236.31449699967</v>
      </c>
    </row>
    <row r="19" customFormat="false" ht="15" hidden="false" customHeight="true" outlineLevel="0" collapsed="false">
      <c r="A19" s="49" t="str">
        <f aca="false">Segment_Day!A9</f>
        <v>Thursday</v>
      </c>
      <c r="B19" s="17" t="n">
        <f aca="false">Segment_Day!B9</f>
        <v>79077</v>
      </c>
      <c r="C19" s="17" t="n">
        <f aca="false">Segment_Day!D9</f>
        <v>3905</v>
      </c>
      <c r="D19" s="19" t="n">
        <f aca="false">B19/SUM($B$16:$B$22)</f>
        <v>0.140064154225199</v>
      </c>
      <c r="E19" s="19" t="n">
        <f aca="false">C19/SUM($C$16:$C$22)</f>
        <v>0.166000680156436</v>
      </c>
      <c r="F19" s="39" t="n">
        <f aca="false">(D19-E19)*100</f>
        <v>-2.59365259312373</v>
      </c>
      <c r="G19" s="21" t="n">
        <f aca="false">(B19+C19)*SUM($B$16:$B$22)/(SUM($B$16:$B$22)+SUM($C$16:$C$22))</f>
        <v>79662.7256440645</v>
      </c>
      <c r="H19" s="21" t="n">
        <f aca="false">(B19+C19)*SUM($C$16:$C$22)/(SUM($B$16:$B$22)+SUM($C$16:$C$22))</f>
        <v>3319.27435593546</v>
      </c>
    </row>
    <row r="20" customFormat="false" ht="15" hidden="false" customHeight="true" outlineLevel="0" collapsed="false">
      <c r="A20" s="49" t="str">
        <f aca="false">Segment_Day!A10</f>
        <v>Friday</v>
      </c>
      <c r="B20" s="17" t="n">
        <f aca="false">Segment_Day!B10</f>
        <v>88805</v>
      </c>
      <c r="C20" s="17" t="n">
        <f aca="false">Segment_Day!D10</f>
        <v>3803</v>
      </c>
      <c r="D20" s="19" t="n">
        <f aca="false">B20/SUM($B$16:$B$22)</f>
        <v>0.15729475341716</v>
      </c>
      <c r="E20" s="19" t="n">
        <f aca="false">C20/SUM($C$16:$C$22)</f>
        <v>0.161664682877062</v>
      </c>
      <c r="F20" s="39" t="n">
        <f aca="false">(D20-E20)*100</f>
        <v>-0.436992945990164</v>
      </c>
      <c r="G20" s="21" t="n">
        <f aca="false">(B20+C20)*SUM($B$16:$B$22)/(SUM($B$16:$B$22)+SUM($C$16:$C$22))</f>
        <v>88903.686298782</v>
      </c>
      <c r="H20" s="21" t="n">
        <f aca="false">(B20+C20)*SUM($C$16:$C$22)/(SUM($B$16:$B$22)+SUM($C$16:$C$22))</f>
        <v>3704.31370121799</v>
      </c>
    </row>
    <row r="21" customFormat="false" ht="15" hidden="false" customHeight="true" outlineLevel="0" collapsed="false">
      <c r="A21" s="49" t="str">
        <f aca="false">Segment_Day!A11</f>
        <v>Saturday</v>
      </c>
      <c r="B21" s="17" t="n">
        <f aca="false">Segment_Day!B11</f>
        <v>78802</v>
      </c>
      <c r="C21" s="17" t="n">
        <f aca="false">Segment_Day!D11</f>
        <v>2858</v>
      </c>
      <c r="D21" s="19" t="n">
        <f aca="false">B21/SUM($B$16:$B$22)</f>
        <v>0.139577063890311</v>
      </c>
      <c r="E21" s="19" t="n">
        <f aca="false">C21/SUM($C$16:$C$22)</f>
        <v>0.121492943376977</v>
      </c>
      <c r="F21" s="39" t="n">
        <f aca="false">(D21-E21)*100</f>
        <v>1.80841205133341</v>
      </c>
      <c r="G21" s="21" t="n">
        <f aca="false">(B21+C21)*SUM($B$16:$B$22)/(SUM($B$16:$B$22)+SUM($C$16:$C$22))</f>
        <v>78393.605554148</v>
      </c>
      <c r="H21" s="21" t="n">
        <f aca="false">(B21+C21)*SUM($C$16:$C$22)/(SUM($B$16:$B$22)+SUM($C$16:$C$22))</f>
        <v>3266.39444585199</v>
      </c>
    </row>
    <row r="22" customFormat="false" ht="15" hidden="false" customHeight="true" outlineLevel="0" collapsed="false">
      <c r="A22" s="49" t="str">
        <f aca="false">Segment_Day!A12</f>
        <v>Sunday</v>
      </c>
      <c r="B22" s="17" t="n">
        <f aca="false">Segment_Day!B12</f>
        <v>82332</v>
      </c>
      <c r="C22" s="17" t="n">
        <f aca="false">Segment_Day!D12</f>
        <v>3059</v>
      </c>
      <c r="D22" s="19" t="n">
        <f aca="false">B22/SUM($B$16:$B$22)</f>
        <v>0.14582953255269</v>
      </c>
      <c r="E22" s="19" t="n">
        <f aca="false">C22/SUM($C$16:$C$22)</f>
        <v>0.130037408603979</v>
      </c>
      <c r="F22" s="39" t="n">
        <f aca="false">(D22-E22)*100</f>
        <v>1.5792123948711</v>
      </c>
      <c r="G22" s="21" t="n">
        <f aca="false">(B22+C22)*SUM($B$16:$B$22)/(SUM($B$16:$B$22)+SUM($C$16:$C$22))</f>
        <v>81975.3658079139</v>
      </c>
      <c r="H22" s="21" t="n">
        <f aca="false">(B22+C22)*SUM($C$16:$C$22)/(SUM($B$16:$B$22)+SUM($C$16:$C$22))</f>
        <v>3415.63419208605</v>
      </c>
    </row>
    <row r="23" customFormat="false" ht="15" hidden="false" customHeight="true" outlineLevel="0" collapsed="false">
      <c r="A23" s="32" t="s">
        <v>243</v>
      </c>
      <c r="B23" s="50" t="n">
        <f aca="false">CHITEST(B16:C22,G16:H22)</f>
        <v>4.84906766429792E-048</v>
      </c>
      <c r="C23" s="32" t="s">
        <v>244</v>
      </c>
      <c r="D23" s="51" t="n">
        <f aca="false">MAX(MAX(F16:F22),-MIN(F16:F22))</f>
        <v>2.59365259312373</v>
      </c>
      <c r="E23" s="52" t="str">
        <f aca="false">IF(B23&lt;Inputs!$B$10,"Distribution differs (check size of gap)","No evidence of imbalance")</f>
        <v>Distribution differs (check size of gap)</v>
      </c>
      <c r="F23" s="52"/>
      <c r="G23" s="52"/>
      <c r="H23" s="52"/>
    </row>
    <row r="26" customFormat="false" ht="15" hidden="false" customHeight="true" outlineLevel="0" collapsed="false">
      <c r="A26" s="16" t="s">
        <v>245</v>
      </c>
    </row>
    <row r="27" customFormat="false" ht="15" hidden="false" customHeight="true" outlineLevel="0" collapsed="false">
      <c r="A27" s="6" t="s">
        <v>94</v>
      </c>
      <c r="B27" s="6" t="s">
        <v>246</v>
      </c>
      <c r="C27" s="6" t="s">
        <v>247</v>
      </c>
    </row>
    <row r="28" customFormat="false" ht="15" hidden="false" customHeight="true" outlineLevel="0" collapsed="false">
      <c r="A28" s="14" t="s">
        <v>248</v>
      </c>
      <c r="B28" s="53" t="n">
        <f aca="false">Inputs!B13</f>
        <v>24.8234</v>
      </c>
      <c r="C28" s="53" t="n">
        <f aca="false">Inputs!B14</f>
        <v>24.7611</v>
      </c>
    </row>
    <row r="29" customFormat="false" ht="15" hidden="false" customHeight="true" outlineLevel="0" collapsed="false">
      <c r="A29" s="14" t="s">
        <v>249</v>
      </c>
      <c r="B29" s="54" t="n">
        <f aca="false">Inputs!B15</f>
        <v>13</v>
      </c>
      <c r="C29" s="54" t="n">
        <f aca="false">Inputs!B16</f>
        <v>12</v>
      </c>
    </row>
    <row r="31" customFormat="false" ht="72" hidden="false" customHeight="true" outlineLevel="0" collapsed="false">
      <c r="A31" s="36" t="s">
        <v>250</v>
      </c>
      <c r="B31" s="36"/>
      <c r="C31" s="36"/>
      <c r="D31" s="36"/>
      <c r="E31" s="36"/>
      <c r="F31" s="36"/>
      <c r="G31" s="36"/>
      <c r="H31" s="36"/>
    </row>
  </sheetData>
  <mergeCells count="3">
    <mergeCell ref="E12:H12"/>
    <mergeCell ref="E23:H23"/>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6"/>
    <col collapsed="false" customWidth="true" hidden="false" outlineLevel="0" max="7" min="7" style="0" width="40"/>
  </cols>
  <sheetData>
    <row r="1" customFormat="false" ht="17.35" hidden="false" customHeight="false" outlineLevel="0" collapsed="false">
      <c r="A1" s="55" t="s">
        <v>251</v>
      </c>
    </row>
    <row r="2" customFormat="false" ht="15" hidden="false" customHeight="false" outlineLevel="0" collapsed="false">
      <c r="A2" s="56" t="s">
        <v>252</v>
      </c>
    </row>
    <row r="4" customFormat="false" ht="15" hidden="false" customHeight="false" outlineLevel="0" collapsed="false">
      <c r="A4" s="57" t="s">
        <v>253</v>
      </c>
      <c r="B4" s="58"/>
      <c r="C4" s="58"/>
      <c r="D4" s="58"/>
      <c r="E4" s="58"/>
      <c r="F4" s="58"/>
      <c r="G4" s="58"/>
    </row>
    <row r="5" customFormat="false" ht="23.85" hidden="false" customHeight="false" outlineLevel="0" collapsed="false">
      <c r="A5" s="59" t="s">
        <v>254</v>
      </c>
      <c r="B5" s="59" t="s">
        <v>255</v>
      </c>
      <c r="C5" s="59" t="s">
        <v>256</v>
      </c>
      <c r="D5" s="59" t="s">
        <v>257</v>
      </c>
      <c r="E5" s="59" t="s">
        <v>258</v>
      </c>
      <c r="F5" s="59" t="s">
        <v>259</v>
      </c>
    </row>
    <row r="6" customFormat="false" ht="15" hidden="false" customHeight="false" outlineLevel="0" collapsed="false">
      <c r="A6" s="60" t="s">
        <v>95</v>
      </c>
      <c r="B6" s="61" t="n">
        <f aca="false">Inputs!B5</f>
        <v>14423</v>
      </c>
      <c r="C6" s="61" t="n">
        <f aca="false">Inputs!B4-Inputs!B5</f>
        <v>550154</v>
      </c>
      <c r="D6" s="62" t="n">
        <f aca="false">B6+C6</f>
        <v>564577</v>
      </c>
      <c r="E6" s="63" t="n">
        <f aca="false">$D6*B$8/$D$8</f>
        <v>14249.2810095545</v>
      </c>
      <c r="F6" s="63" t="n">
        <f aca="false">$D6*C$8/$D$8</f>
        <v>550327.718990446</v>
      </c>
    </row>
    <row r="7" customFormat="false" ht="15" hidden="false" customHeight="false" outlineLevel="0" collapsed="false">
      <c r="A7" s="60" t="s">
        <v>96</v>
      </c>
      <c r="B7" s="61" t="n">
        <f aca="false">Inputs!B7</f>
        <v>420</v>
      </c>
      <c r="C7" s="61" t="n">
        <f aca="false">Inputs!B6-Inputs!B7</f>
        <v>23104</v>
      </c>
      <c r="D7" s="62" t="n">
        <f aca="false">B7+C7</f>
        <v>23524</v>
      </c>
      <c r="E7" s="63" t="n">
        <f aca="false">$D7*B$8/$D$8</f>
        <v>593.718990445519</v>
      </c>
      <c r="F7" s="63" t="n">
        <f aca="false">$D7*C$8/$D$8</f>
        <v>22930.2810095545</v>
      </c>
    </row>
    <row r="8" customFormat="false" ht="15" hidden="false" customHeight="false" outlineLevel="0" collapsed="false">
      <c r="A8" s="64" t="s">
        <v>257</v>
      </c>
      <c r="B8" s="65" t="n">
        <f aca="false">SUM(B6:B7)</f>
        <v>14843</v>
      </c>
      <c r="C8" s="65" t="n">
        <f aca="false">SUM(C6:C7)</f>
        <v>573258</v>
      </c>
      <c r="D8" s="65" t="n">
        <f aca="false">SUM(D6:D7)</f>
        <v>588101</v>
      </c>
    </row>
    <row r="10" customFormat="false" ht="15" hidden="false" customHeight="false" outlineLevel="0" collapsed="false">
      <c r="A10" s="66" t="s">
        <v>260</v>
      </c>
      <c r="B10" s="67" t="n">
        <f aca="false">SUMPRODUCT((B6:C7-E6:F7)^2/E6:F7)</f>
        <v>54.3180515913831</v>
      </c>
      <c r="C10" s="68" t="s">
        <v>261</v>
      </c>
    </row>
    <row r="11" customFormat="false" ht="15" hidden="false" customHeight="false" outlineLevel="0" collapsed="false">
      <c r="A11" s="66" t="s">
        <v>262</v>
      </c>
      <c r="B11" s="69" t="n">
        <v>1</v>
      </c>
      <c r="C11" s="68" t="s">
        <v>263</v>
      </c>
    </row>
    <row r="12" customFormat="false" ht="15" hidden="false" customHeight="false" outlineLevel="0" collapsed="false">
      <c r="A12" s="66" t="s">
        <v>138</v>
      </c>
      <c r="B12" s="70" t="n">
        <f aca="false">CHIDIST(B10,B11)</f>
        <v>1.70528071615601E-013</v>
      </c>
    </row>
    <row r="13" customFormat="false" ht="15" hidden="false" customHeight="false" outlineLevel="0" collapsed="false">
      <c r="A13" s="66" t="s">
        <v>264</v>
      </c>
      <c r="B13" s="71" t="n">
        <f aca="false">Statistical_Test!B11^2</f>
        <v>54.3180515913832</v>
      </c>
    </row>
    <row r="14" customFormat="false" ht="15" hidden="false" customHeight="false" outlineLevel="0" collapsed="false">
      <c r="A14" s="66" t="s">
        <v>265</v>
      </c>
      <c r="B14" s="72" t="n">
        <f aca="false">B10-B13</f>
        <v>0</v>
      </c>
    </row>
    <row r="15" customFormat="false" ht="15" hidden="false" customHeight="false" outlineLevel="0" collapsed="false">
      <c r="A15" s="66" t="s">
        <v>266</v>
      </c>
      <c r="B15" s="73" t="str">
        <f aca="false">IF(ABS(B14)&lt;0.000001,"Chi-square equals z squared: both tests agree","Tests disagree: check inputs")</f>
        <v>Chi-square equals z squared: both tests agree</v>
      </c>
    </row>
    <row r="17" customFormat="false" ht="15" hidden="false" customHeight="false" outlineLevel="0" collapsed="false">
      <c r="A17" s="57" t="s">
        <v>267</v>
      </c>
      <c r="B17" s="58"/>
      <c r="C17" s="58"/>
      <c r="D17" s="58"/>
      <c r="E17" s="58"/>
      <c r="F17" s="58"/>
      <c r="G17" s="58"/>
    </row>
    <row r="18" customFormat="false" ht="15" hidden="false" customHeight="true" outlineLevel="0" collapsed="false">
      <c r="A18" s="59" t="s">
        <v>268</v>
      </c>
      <c r="B18" s="59" t="s">
        <v>40</v>
      </c>
      <c r="C18" s="74" t="s">
        <v>168</v>
      </c>
      <c r="D18" s="74"/>
      <c r="E18" s="74"/>
      <c r="F18" s="74"/>
      <c r="G18" s="74"/>
    </row>
    <row r="19" customFormat="false" ht="15" hidden="false" customHeight="false" outlineLevel="0" collapsed="false">
      <c r="A19" s="60" t="s">
        <v>54</v>
      </c>
      <c r="B19" s="75" t="n">
        <f aca="false">Inputs!B10</f>
        <v>0.05</v>
      </c>
      <c r="C19" s="68" t="s">
        <v>269</v>
      </c>
    </row>
    <row r="20" customFormat="false" ht="15" hidden="false" customHeight="false" outlineLevel="0" collapsed="false">
      <c r="A20" s="60" t="s">
        <v>58</v>
      </c>
      <c r="B20" s="76" t="n">
        <f aca="false">Inputs!B12</f>
        <v>0.8</v>
      </c>
      <c r="C20" s="68" t="s">
        <v>269</v>
      </c>
    </row>
    <row r="21" customFormat="false" ht="15" hidden="false" customHeight="false" outlineLevel="0" collapsed="false">
      <c r="A21" s="60" t="s">
        <v>270</v>
      </c>
      <c r="B21" s="77" t="n">
        <f aca="false">Summary!C7</f>
        <v>0.0178541064444822</v>
      </c>
      <c r="C21" s="68" t="s">
        <v>271</v>
      </c>
    </row>
    <row r="22" customFormat="false" ht="15" hidden="false" customHeight="false" outlineLevel="0" collapsed="false">
      <c r="A22" s="60" t="s">
        <v>272</v>
      </c>
      <c r="B22" s="78" t="n">
        <v>0.005</v>
      </c>
      <c r="C22" s="68" t="s">
        <v>273</v>
      </c>
    </row>
    <row r="23" customFormat="false" ht="15" hidden="false" customHeight="false" outlineLevel="0" collapsed="false">
      <c r="A23" s="60" t="s">
        <v>274</v>
      </c>
      <c r="B23" s="79" t="n">
        <v>0.5</v>
      </c>
      <c r="C23" s="68" t="s">
        <v>275</v>
      </c>
    </row>
    <row r="24" customFormat="false" ht="15" hidden="false" customHeight="false" outlineLevel="0" collapsed="false">
      <c r="A24" s="60" t="s">
        <v>276</v>
      </c>
      <c r="B24" s="80" t="n">
        <f aca="false">NORMSINV(1-B19/2)</f>
        <v>1.95996398454005</v>
      </c>
      <c r="C24" s="68" t="s">
        <v>277</v>
      </c>
    </row>
    <row r="25" customFormat="false" ht="15" hidden="false" customHeight="false" outlineLevel="0" collapsed="false">
      <c r="A25" s="60" t="s">
        <v>278</v>
      </c>
      <c r="B25" s="80" t="n">
        <f aca="false">NORMSINV(B20)</f>
        <v>0.841621233572914</v>
      </c>
      <c r="C25" s="68" t="s">
        <v>279</v>
      </c>
    </row>
    <row r="26" customFormat="false" ht="15" hidden="false" customHeight="false" outlineLevel="0" collapsed="false">
      <c r="A26" s="60" t="s">
        <v>280</v>
      </c>
      <c r="B26" s="81" t="n">
        <f aca="false">B21+B22</f>
        <v>0.0228541064444822</v>
      </c>
      <c r="C26" s="68" t="s">
        <v>281</v>
      </c>
    </row>
    <row r="27" customFormat="false" ht="15" hidden="false" customHeight="false" outlineLevel="0" collapsed="false">
      <c r="A27" s="60" t="s">
        <v>282</v>
      </c>
      <c r="B27" s="82" t="n">
        <f aca="false">(1-B23)/B23</f>
        <v>1</v>
      </c>
      <c r="C27" s="68" t="s">
        <v>283</v>
      </c>
    </row>
    <row r="28" customFormat="false" ht="15" hidden="false" customHeight="false" outlineLevel="0" collapsed="false">
      <c r="A28" s="60" t="s">
        <v>284</v>
      </c>
      <c r="B28" s="62" t="n">
        <f aca="false">ROUNDUP((B24*SQRT((1+1/B27)*((B21+B27*B26)/(1+B27))*(1-(B21+B27*B26)/(1+B27)))+B25*SQRT(B21*(1-B21)+B26*(1-B26)/B27))^2/B22^2,0)</f>
        <v>12520</v>
      </c>
      <c r="C28" s="68" t="s">
        <v>285</v>
      </c>
    </row>
    <row r="29" customFormat="false" ht="15" hidden="false" customHeight="false" outlineLevel="0" collapsed="false">
      <c r="A29" s="60" t="s">
        <v>286</v>
      </c>
      <c r="B29" s="62" t="n">
        <f aca="false">ROUNDUP(B27*B28,0)</f>
        <v>12520</v>
      </c>
      <c r="C29" s="68" t="s">
        <v>287</v>
      </c>
    </row>
    <row r="30" customFormat="false" ht="15" hidden="false" customHeight="false" outlineLevel="0" collapsed="false">
      <c r="A30" s="60" t="s">
        <v>288</v>
      </c>
      <c r="B30" s="65" t="n">
        <f aca="false">B28+B29</f>
        <v>25040</v>
      </c>
      <c r="C30" s="68" t="s">
        <v>289</v>
      </c>
    </row>
    <row r="31" customFormat="false" ht="15" hidden="false" customHeight="false" outlineLevel="0" collapsed="false">
      <c r="A31" s="60" t="s">
        <v>290</v>
      </c>
      <c r="B31" s="61" t="n">
        <f aca="false">Inputs!B4+Inputs!B6</f>
        <v>588101</v>
      </c>
      <c r="C31" s="68" t="s">
        <v>291</v>
      </c>
    </row>
    <row r="32" customFormat="false" ht="15" hidden="false" customHeight="false" outlineLevel="0" collapsed="false">
      <c r="A32" s="60" t="s">
        <v>292</v>
      </c>
      <c r="B32" s="62" t="n">
        <f aca="false">ROUNDUP(($B$24*SQRT(2*(B21+Summary!B8/2)*(1-B21-Summary!B8/2))+$B$25*SQRT(B21*(1-B21)+(B21+Summary!B8)*(1-B21-Summary!B8)))^2/Summary!B8^2,0)</f>
        <v>5631</v>
      </c>
      <c r="C32" s="68" t="s">
        <v>293</v>
      </c>
    </row>
    <row r="34" customFormat="false" ht="15" hidden="false" customHeight="false" outlineLevel="0" collapsed="false">
      <c r="A34" s="83" t="s">
        <v>294</v>
      </c>
    </row>
    <row r="35" customFormat="false" ht="15" hidden="false" customHeight="false" outlineLevel="0" collapsed="false">
      <c r="A35" s="59" t="s">
        <v>295</v>
      </c>
      <c r="B35" s="84" t="n">
        <v>0.01</v>
      </c>
      <c r="C35" s="84" t="n">
        <v>0.02</v>
      </c>
      <c r="D35" s="84" t="n">
        <v>0.03</v>
      </c>
      <c r="E35" s="84" t="n">
        <v>0.05</v>
      </c>
      <c r="F35" s="84" t="n">
        <v>0.1</v>
      </c>
    </row>
    <row r="36" customFormat="false" ht="15" hidden="false" customHeight="false" outlineLevel="0" collapsed="false">
      <c r="A36" s="85" t="n">
        <v>0.0025</v>
      </c>
      <c r="B36" s="62" t="n">
        <f aca="false">ROUNDUP(($B$24*SQRT(2*(B$35+$A36/2)*(1-B$35-$A36/2))+$B$25*SQRT(B$35*(1-B$35)+(B$35+$A36)*(1-B$35-$A36)))^2/$A36^2,0)</f>
        <v>27937</v>
      </c>
      <c r="C36" s="62" t="n">
        <f aca="false">ROUNDUP(($B$24*SQRT(2*(C$35+$A36/2)*(1-C$35-$A36/2))+$B$25*SQRT(C$35*(1-C$35)+(C$35+$A36)*(1-C$35-$A36)))^2/$A36^2,0)</f>
        <v>52238</v>
      </c>
      <c r="D36" s="62" t="n">
        <f aca="false">ROUNDUP(($B$24*SQRT(2*(D$35+$A36/2)*(1-D$35-$A36/2))+$B$25*SQRT(D$35*(1-D$35)+(D$35+$A36)*(1-D$35-$A36)))^2/$A36^2,0)</f>
        <v>76035</v>
      </c>
      <c r="E36" s="62" t="n">
        <f aca="false">ROUNDUP(($B$24*SQRT(2*(E$35+$A36/2)*(1-E$35-$A36/2))+$B$25*SQRT(E$35*(1-E$35)+(E$35+$A36)*(1-E$35-$A36)))^2/$A36^2,0)</f>
        <v>122124</v>
      </c>
      <c r="F36" s="62" t="n">
        <f aca="false">ROUNDUP(($B$24*SQRT(2*(F$35+$A36/2)*(1-F$35-$A36/2))+$B$25*SQRT(F$35*(1-F$35)+(F$35+$A36)*(1-F$35-$A36)))^2/$A36^2,0)</f>
        <v>228555</v>
      </c>
    </row>
    <row r="37" customFormat="false" ht="15" hidden="false" customHeight="false" outlineLevel="0" collapsed="false">
      <c r="A37" s="85" t="n">
        <v>0.005</v>
      </c>
      <c r="B37" s="62" t="n">
        <f aca="false">ROUNDUP(($B$24*SQRT(2*(B$35+$A37/2)*(1-B$35-$A37/2))+$B$25*SQRT(B$35*(1-B$35)+(B$35+$A37)*(1-B$35-$A37)))^2/$A37^2,0)</f>
        <v>7750</v>
      </c>
      <c r="C37" s="62" t="n">
        <f aca="false">ROUNDUP(($B$24*SQRT(2*(C$35+$A37/2)*(1-C$35-$A37/2))+$B$25*SQRT(C$35*(1-C$35)+(C$35+$A37)*(1-C$35-$A37)))^2/$A37^2,0)</f>
        <v>13809</v>
      </c>
      <c r="D37" s="62" t="n">
        <f aca="false">ROUNDUP(($B$24*SQRT(2*(D$35+$A37/2)*(1-D$35-$A37/2))+$B$25*SQRT(D$35*(1-D$35)+(D$35+$A37)*(1-D$35-$A37)))^2/$A37^2,0)</f>
        <v>19743</v>
      </c>
      <c r="E37" s="62" t="n">
        <f aca="false">ROUNDUP(($B$24*SQRT(2*(E$35+$A37/2)*(1-E$35-$A37/2))+$B$25*SQRT(E$35*(1-E$35)+(E$35+$A37)*(1-E$35-$A37)))^2/$A37^2,0)</f>
        <v>31234</v>
      </c>
      <c r="F37" s="62" t="n">
        <f aca="false">ROUNDUP(($B$24*SQRT(2*(F$35+$A37/2)*(1-F$35-$A37/2))+$B$25*SQRT(F$35*(1-F$35)+(F$35+$A37)*(1-F$35-$A37)))^2/$A37^2,0)</f>
        <v>57763</v>
      </c>
    </row>
    <row r="38" customFormat="false" ht="15" hidden="false" customHeight="false" outlineLevel="0" collapsed="false">
      <c r="A38" s="85" t="n">
        <v>0.0075</v>
      </c>
      <c r="B38" s="62" t="n">
        <f aca="false">ROUNDUP(($B$24*SQRT(2*(B$35+$A38/2)*(1-B$35-$A38/2))+$B$25*SQRT(B$35*(1-B$35)+(B$35+$A38)*(1-B$35-$A38)))^2/$A38^2,0)</f>
        <v>3784</v>
      </c>
      <c r="C38" s="62" t="n">
        <f aca="false">ROUNDUP(($B$24*SQRT(2*(C$35+$A38/2)*(1-C$35-$A38/2))+$B$25*SQRT(C$35*(1-C$35)+(C$35+$A38)*(1-C$35-$A38)))^2/$A38^2,0)</f>
        <v>6470</v>
      </c>
      <c r="D38" s="62" t="n">
        <f aca="false">ROUNDUP(($B$24*SQRT(2*(D$35+$A38/2)*(1-D$35-$A38/2))+$B$25*SQRT(D$35*(1-D$35)+(D$35+$A38)*(1-D$35-$A38)))^2/$A38^2,0)</f>
        <v>9100</v>
      </c>
      <c r="E38" s="62" t="n">
        <f aca="false">ROUNDUP(($B$24*SQRT(2*(E$35+$A38/2)*(1-E$35-$A38/2))+$B$25*SQRT(E$35*(1-E$35)+(E$35+$A38)*(1-E$35-$A38)))^2/$A38^2,0)</f>
        <v>14193</v>
      </c>
      <c r="F38" s="62" t="n">
        <f aca="false">ROUNDUP(($B$24*SQRT(2*(F$35+$A38/2)*(1-F$35-$A38/2))+$B$25*SQRT(F$35*(1-F$35)+(F$35+$A38)*(1-F$35-$A38)))^2/$A38^2,0)</f>
        <v>25949</v>
      </c>
    </row>
    <row r="39" customFormat="false" ht="15" hidden="false" customHeight="false" outlineLevel="0" collapsed="false">
      <c r="A39" s="85" t="n">
        <v>0.01</v>
      </c>
      <c r="B39" s="62" t="n">
        <f aca="false">ROUNDUP(($B$24*SQRT(2*(B$35+$A39/2)*(1-B$35-$A39/2))+$B$25*SQRT(B$35*(1-B$35)+(B$35+$A39)*(1-B$35-$A39)))^2/$A39^2,0)</f>
        <v>2319</v>
      </c>
      <c r="C39" s="62" t="n">
        <f aca="false">ROUNDUP(($B$24*SQRT(2*(C$35+$A39/2)*(1-C$35-$A39/2))+$B$25*SQRT(C$35*(1-C$35)+(C$35+$A39)*(1-C$35-$A39)))^2/$A39^2,0)</f>
        <v>3826</v>
      </c>
      <c r="D39" s="62" t="n">
        <f aca="false">ROUNDUP(($B$24*SQRT(2*(D$35+$A39/2)*(1-D$35-$A39/2))+$B$25*SQRT(D$35*(1-D$35)+(D$35+$A39)*(1-D$35-$A39)))^2/$A39^2,0)</f>
        <v>5301</v>
      </c>
      <c r="E39" s="62" t="n">
        <f aca="false">ROUNDUP(($B$24*SQRT(2*(E$35+$A39/2)*(1-E$35-$A39/2))+$B$25*SQRT(E$35*(1-E$35)+(E$35+$A39)*(1-E$35-$A39)))^2/$A39^2,0)</f>
        <v>8158</v>
      </c>
      <c r="F39" s="62" t="n">
        <f aca="false">ROUNDUP(($B$24*SQRT(2*(F$35+$A39/2)*(1-F$35-$A39/2))+$B$25*SQRT(F$35*(1-F$35)+(F$35+$A39)*(1-F$35-$A39)))^2/$A39^2,0)</f>
        <v>14751</v>
      </c>
    </row>
    <row r="40" customFormat="false" ht="15" hidden="false" customHeight="false" outlineLevel="0" collapsed="false">
      <c r="A40" s="85" t="n">
        <v>0.02</v>
      </c>
      <c r="B40" s="62" t="n">
        <f aca="false">ROUNDUP(($B$24*SQRT(2*(B$35+$A40/2)*(1-B$35-$A40/2))+$B$25*SQRT(B$35*(1-B$35)+(B$35+$A40)*(1-B$35-$A40)))^2/$A40^2,0)</f>
        <v>769</v>
      </c>
      <c r="C40" s="62" t="n">
        <f aca="false">ROUNDUP(($B$24*SQRT(2*(C$35+$A40/2)*(1-C$35-$A40/2))+$B$25*SQRT(C$35*(1-C$35)+(C$35+$A40)*(1-C$35-$A40)))^2/$A40^2,0)</f>
        <v>1141</v>
      </c>
      <c r="D40" s="62" t="n">
        <f aca="false">ROUNDUP(($B$24*SQRT(2*(D$35+$A40/2)*(1-D$35-$A40/2))+$B$25*SQRT(D$35*(1-D$35)+(D$35+$A40)*(1-D$35-$A40)))^2/$A40^2,0)</f>
        <v>1506</v>
      </c>
      <c r="E40" s="62" t="n">
        <f aca="false">ROUNDUP(($B$24*SQRT(2*(E$35+$A40/2)*(1-E$35-$A40/2))+$B$25*SQRT(E$35*(1-E$35)+(E$35+$A40)*(1-E$35-$A40)))^2/$A40^2,0)</f>
        <v>2213</v>
      </c>
      <c r="F40" s="62" t="n">
        <f aca="false">ROUNDUP(($B$24*SQRT(2*(F$35+$A40/2)*(1-F$35-$A40/2))+$B$25*SQRT(F$35*(1-F$35)+(F$35+$A40)*(1-F$35-$A40)))^2/$A40^2,0)</f>
        <v>3841</v>
      </c>
    </row>
    <row r="41" customFormat="false" ht="15" hidden="false" customHeight="false" outlineLevel="0" collapsed="false">
      <c r="A41" s="56" t="s">
        <v>296</v>
      </c>
    </row>
  </sheetData>
  <mergeCells count="1">
    <mergeCell ref="C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25" hidden="false" customHeight="true" outlineLevel="0" collapsed="false">
      <c r="A1" s="2" t="s">
        <v>30</v>
      </c>
    </row>
    <row r="2" customFormat="false" ht="15" hidden="false" customHeight="true" outlineLevel="0" collapsed="false">
      <c r="A2" s="3"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30"/>
  </cols>
  <sheetData>
    <row r="1" customFormat="false" ht="17.25" hidden="false" customHeight="true" outlineLevel="0" collapsed="false">
      <c r="A1" s="2" t="s">
        <v>298</v>
      </c>
    </row>
    <row r="2" customFormat="false" ht="15" hidden="false" customHeight="true" outlineLevel="0" collapsed="false">
      <c r="A2" s="3" t="s">
        <v>299</v>
      </c>
    </row>
    <row r="4" customFormat="false" ht="61.5" hidden="false" customHeight="true" outlineLevel="0" collapsed="false">
      <c r="A4" s="86" t="s">
        <v>300</v>
      </c>
      <c r="B4" s="87" t="s">
        <v>301</v>
      </c>
    </row>
    <row r="5" customFormat="false" ht="61.5" hidden="false" customHeight="true" outlineLevel="0" collapsed="false">
      <c r="A5" s="86" t="s">
        <v>302</v>
      </c>
      <c r="B5" s="87" t="str">
        <f aca="false">"Ad: "&amp;TEXT(Inputs!B5,"#,##0")&amp;" / "&amp;TEXT(Inputs!B4,"#,##0")&amp;" = "&amp;TEXT(Summary!B7,"0.000%")&amp;".  PSA: "&amp;TEXT(Inputs!B7,"#,##0")&amp;" / "&amp;TEXT(Inputs!B6,"#,##0")&amp;" = "&amp;TEXT(Summary!C7,"0.000%")&amp;"."</f>
        <v>Ad: 14,423 / 564,577 = 2.555%.  PSA: 420 / 23,524 = 1.785%.</v>
      </c>
    </row>
    <row r="6" customFormat="false" ht="61.5" hidden="false" customHeight="true" outlineLevel="0" collapsed="false">
      <c r="A6" s="86" t="s">
        <v>303</v>
      </c>
      <c r="B6" s="87" t="str">
        <f aca="false">"Absolute difference = "&amp;TEXT(Summary!B8*100,"0.000")&amp;" percentage points; relative lift = "&amp;TEXT(Summary!B9,"0.0%")&amp;" (95% CI "&amp;TEXT(Statistical_Test!B19,"0%")&amp;" to "&amp;TEXT(Statistical_Test!B20,"0%")&amp;"). Cohen's h = "&amp;TEXT(Summary!B11,"0.000")&amp;" (small in standardised terms; the conversion base rate is low)."</f>
        <v>Absolute difference = 0.769 percentage points; relative lift = 43.1% (95% CI 30% to 58%). Cohen's h = 0.053 (small in standardised terms; the conversion base rate is low).</v>
      </c>
    </row>
    <row r="7" customFormat="false" ht="61.5" hidden="false" customHeight="true" outlineLevel="0" collapsed="false">
      <c r="A7" s="86" t="s">
        <v>304</v>
      </c>
      <c r="B7" s="87" t="str">
        <f aca="false">"95% CI for the difference: "&amp;TEXT(Statistical_Test!B15*100,"0.000")&amp;" to "&amp;TEXT(Statistical_Test!B16*100,"0.000")&amp;" pp. The interval excludes zero, and its lower bound is still positive."</f>
        <v>95% CI for the difference: 0.595 to 0.943 pp. The interval excludes zero, and its lower bound is still positive.</v>
      </c>
    </row>
    <row r="8" customFormat="false" ht="61.5" hidden="false" customHeight="true" outlineLevel="0" collapsed="false">
      <c r="A8" s="86" t="s">
        <v>305</v>
      </c>
      <c r="B8" s="87" t="str">
        <f aca="false">"Two-sided two-proportion z-test: z = "&amp;TEXT(Statistical_Test!B11,"0.000")&amp;", p = "&amp;TEXT(Statistical_Test!B12,"0.00E+00")&amp;". "&amp;Statistical_Test!B21&amp;"."</f>
        <v>Two-sided two-proportion z-test: z = 7.370, p = 1.71E-13. Statistically significant at 5%.</v>
      </c>
    </row>
    <row r="9" customFormat="false" ht="61.5" hidden="false" customHeight="true" outlineLevel="0" collapsed="false">
      <c r="A9" s="86" t="s">
        <v>306</v>
      </c>
      <c r="B9" s="87" t="str">
        <f aca="false">"The lift is not uniform. Below 21 ads there is no significant difference (PSA is nominally higher at 2-10 ads); users who saw 21+ ads account for "&amp;TEXT(Segment_Frequency!B27,"0%")&amp;" of band-level incremental conversions. Standardising for exposure band gives "&amp;TEXT(Segment_Frequency!B20*100,"0.000")&amp;" pp vs "&amp;TEXT(Summary!B8*100,"0.000")&amp;" pp crude, so exposure mix does not explain the lift away."</f>
        <v>The lift is not uniform. Below 21 ads there is no significant difference (PSA is nominally higher at 2-10 ads); users who saw 21+ ads account for 104% of band-level incremental conversions. Standardising for exposure band gives 0.819 pp vs 0.769 pp crude, so exposure mix does not explain the lift away.</v>
      </c>
    </row>
    <row r="10" customFormat="false" ht="61.5" hidden="false" customHeight="true" outlineLevel="0" collapsed="false">
      <c r="A10" s="86" t="s">
        <v>9</v>
      </c>
      <c r="B10" s="87" t="str">
        <f aca="false">"If the effect is causal, the ad produced about "&amp;TEXT(Summary!B12,"#,##0")&amp;" incremental conversions ("&amp;TEXT(Summary!B13,"0%")&amp;" of ad-group conversions). Break_Even shows the campaign pays back when each conversion is worth more than "&amp;TEXT(Break_Even!B14,"$#,##0.00")&amp;" at the assumed CPM of "&amp;TEXT(Break_Even!B6,"$#,##0.00")&amp;" (placeholder assumption)."</f>
        <v>If the effect is causal, the ad produced about 4,343 incremental conversions (30% of ad-group conversions). Break_Even shows the campaign pays back when each conversion is worth more than $16.13 at the assumed CPM of $5.00 (placeholder assumption).</v>
      </c>
    </row>
    <row r="11" customFormat="false" ht="61.5" hidden="false" customHeight="true" outlineLevel="0" collapsed="false">
      <c r="A11" s="86" t="s">
        <v>307</v>
      </c>
      <c r="B11" s="87" t="s">
        <v>308</v>
      </c>
    </row>
    <row r="12" customFormat="false" ht="61.5" hidden="false" customHeight="true" outlineLevel="0" collapsed="false">
      <c r="A12" s="86" t="s">
        <v>183</v>
      </c>
      <c r="B12" s="87" t="s">
        <v>309</v>
      </c>
    </row>
    <row r="13" customFormat="false" ht="61.5" hidden="false" customHeight="true" outlineLevel="0" collapsed="false">
      <c r="A13" s="86" t="s">
        <v>310</v>
      </c>
      <c r="B13" s="87" t="str">
        <f aca="false">"Assignment process undocumented (association, not proven causation). The groups' exposure profiles differ by up to "&amp;TEXT(Balance_Check!D12,"0.0")&amp;" pp per ad-frequency band, which could reflect delivery differences or non-random assignment. PSA group is only 4% of users. Segments are defined after exposure and are exploratory (Bonferroni-adjusted p-values reported). Conversion window and campaign dates are not documented."</f>
        <v>Assignment process undocumented (association, not proven causation). The groups' exposure profiles differ by up to 4.2 pp per ad-frequency band, which could reflect delivery differences or non-random assignment. PSA group is only 4% of users. Segments are defined after exposure and are exploratory (Bonferroni-adjusted p-values reported). Conversion window and campaign dates are not documented.</v>
      </c>
    </row>
    <row r="14" customFormat="false" ht="61.5" hidden="false" customHeight="true" outlineLevel="0" collapsed="false">
      <c r="A14" s="86" t="s">
        <v>311</v>
      </c>
      <c r="B14" s="87" t="s">
        <v>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2026-10-25T20:10:16Z</dcterms:created>
  <dc:creator>ExperimentLab</dc:creator>
  <dc:description/>
  <dc:language>en-US</dc:language>
  <cp:lastModifiedBy/>
  <dcterms:modified xsi:type="dcterms:W3CDTF">2026-10-27T08:23:16Z</dcterms:modified>
  <cp:revision>2</cp:revision>
  <dc:subject/>
  <dc:title>ExperimentLab: Conversion &amp; A/B Testing</dc:title>
</cp:coreProperties>
</file>

<file path=docProps/custom.xml><?xml version="1.0" encoding="utf-8"?>
<Properties xmlns="http://schemas.openxmlformats.org/officeDocument/2006/custom-properties" xmlns:vt="http://schemas.openxmlformats.org/officeDocument/2006/docPropsVTypes"/>
</file>